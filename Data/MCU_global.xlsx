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D:\Quantitative Finance\연구\Network Analysis\Marvel\analysis\"/>
    </mc:Choice>
  </mc:AlternateContent>
  <xr:revisionPtr revIDLastSave="0" documentId="13_ncr:1_{00D750B8-6B25-4290-A29A-EA6ABDCD1499}" xr6:coauthVersionLast="47" xr6:coauthVersionMax="47" xr10:uidLastSave="{00000000-0000-0000-0000-000000000000}"/>
  <bookViews>
    <workbookView xWindow="-120" yWindow="-120" windowWidth="29040" windowHeight="15720" xr2:uid="{CE083443-6DAC-E549-8132-00550AFCCD11}"/>
  </bookViews>
  <sheets>
    <sheet name="MCU_global" sheetId="4" r:id="rId1"/>
    <sheet name="eigenvector centrality"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8" i="4" l="1"/>
  <c r="S38" i="4"/>
  <c r="R38" i="4"/>
  <c r="Q38" i="4"/>
  <c r="Z37" i="4"/>
  <c r="W37" i="4"/>
  <c r="V37" i="4"/>
  <c r="Y37" i="4" s="1"/>
  <c r="U37" i="4"/>
  <c r="X37" i="4" s="1"/>
  <c r="Z36" i="4"/>
  <c r="W36" i="4"/>
  <c r="V36" i="4"/>
  <c r="Y36" i="4" s="1"/>
  <c r="U36" i="4"/>
  <c r="X36" i="4" s="1"/>
  <c r="Y35" i="4"/>
  <c r="X35" i="4"/>
  <c r="W35" i="4"/>
  <c r="Z35" i="4" s="1"/>
  <c r="V35" i="4"/>
  <c r="U35" i="4"/>
  <c r="W34" i="4"/>
  <c r="Z34" i="4" s="1"/>
  <c r="V34" i="4"/>
  <c r="Y34" i="4" s="1"/>
  <c r="U34" i="4"/>
  <c r="X34" i="4" s="1"/>
  <c r="X33" i="4"/>
  <c r="W33" i="4"/>
  <c r="Z33" i="4" s="1"/>
  <c r="V33" i="4"/>
  <c r="Y33" i="4" s="1"/>
  <c r="U33" i="4"/>
  <c r="W32" i="4"/>
  <c r="Z32" i="4" s="1"/>
  <c r="V32" i="4"/>
  <c r="Y32" i="4" s="1"/>
  <c r="U32" i="4"/>
  <c r="X32" i="4" s="1"/>
  <c r="W31" i="4"/>
  <c r="Z31" i="4" s="1"/>
  <c r="V31" i="4"/>
  <c r="Y31" i="4" s="1"/>
  <c r="U31" i="4"/>
  <c r="X31" i="4" s="1"/>
  <c r="W30" i="4"/>
  <c r="Z30" i="4" s="1"/>
  <c r="V30" i="4"/>
  <c r="Y30" i="4" s="1"/>
  <c r="U30" i="4"/>
  <c r="X30" i="4" s="1"/>
  <c r="W29" i="4"/>
  <c r="Z29" i="4" s="1"/>
  <c r="V29" i="4"/>
  <c r="Y29" i="4" s="1"/>
  <c r="AA29" i="4" s="1"/>
  <c r="U29" i="4"/>
  <c r="X29" i="4" s="1"/>
  <c r="W28" i="4"/>
  <c r="Z28" i="4" s="1"/>
  <c r="V28" i="4"/>
  <c r="Y28" i="4" s="1"/>
  <c r="U28" i="4"/>
  <c r="X28" i="4" s="1"/>
  <c r="Z27" i="4"/>
  <c r="Y27" i="4"/>
  <c r="W27" i="4"/>
  <c r="V27" i="4"/>
  <c r="U27" i="4"/>
  <c r="X27" i="4" s="1"/>
  <c r="X26" i="4"/>
  <c r="W26" i="4"/>
  <c r="Z26" i="4" s="1"/>
  <c r="V26" i="4"/>
  <c r="Y26" i="4" s="1"/>
  <c r="AA26" i="4" s="1"/>
  <c r="U26" i="4"/>
  <c r="W25" i="4"/>
  <c r="Z25" i="4" s="1"/>
  <c r="V25" i="4"/>
  <c r="Y25" i="4" s="1"/>
  <c r="U25" i="4"/>
  <c r="X25" i="4" s="1"/>
  <c r="W24" i="4"/>
  <c r="Z24" i="4" s="1"/>
  <c r="V24" i="4"/>
  <c r="Y24" i="4" s="1"/>
  <c r="U24" i="4"/>
  <c r="X24" i="4" s="1"/>
  <c r="W23" i="4"/>
  <c r="Z23" i="4" s="1"/>
  <c r="V23" i="4"/>
  <c r="Y23" i="4" s="1"/>
  <c r="U23" i="4"/>
  <c r="X23" i="4" s="1"/>
  <c r="Y22" i="4"/>
  <c r="W22" i="4"/>
  <c r="Z22" i="4" s="1"/>
  <c r="V22" i="4"/>
  <c r="U22" i="4"/>
  <c r="X22" i="4" s="1"/>
  <c r="AA22" i="4" s="1"/>
  <c r="X21" i="4"/>
  <c r="W21" i="4"/>
  <c r="Z21" i="4" s="1"/>
  <c r="V21" i="4"/>
  <c r="Y21" i="4" s="1"/>
  <c r="U21" i="4"/>
  <c r="Z20" i="4"/>
  <c r="W20" i="4"/>
  <c r="V20" i="4"/>
  <c r="Y20" i="4" s="1"/>
  <c r="AA20" i="4" s="1"/>
  <c r="U20" i="4"/>
  <c r="X20" i="4" s="1"/>
  <c r="X19" i="4"/>
  <c r="W19" i="4"/>
  <c r="Z19" i="4" s="1"/>
  <c r="V19" i="4"/>
  <c r="Y19" i="4" s="1"/>
  <c r="AA19" i="4" s="1"/>
  <c r="U19" i="4"/>
  <c r="Y18" i="4"/>
  <c r="X18" i="4"/>
  <c r="W18" i="4"/>
  <c r="Z18" i="4" s="1"/>
  <c r="V18" i="4"/>
  <c r="U18" i="4"/>
  <c r="W17" i="4"/>
  <c r="Z17" i="4" s="1"/>
  <c r="V17" i="4"/>
  <c r="Y17" i="4" s="1"/>
  <c r="U17" i="4"/>
  <c r="X17" i="4" s="1"/>
  <c r="W16" i="4"/>
  <c r="Z16" i="4" s="1"/>
  <c r="V16" i="4"/>
  <c r="Y16" i="4" s="1"/>
  <c r="U16" i="4"/>
  <c r="X16" i="4" s="1"/>
  <c r="W15" i="4"/>
  <c r="Z15" i="4" s="1"/>
  <c r="V15" i="4"/>
  <c r="Y15" i="4" s="1"/>
  <c r="U15" i="4"/>
  <c r="X15" i="4" s="1"/>
  <c r="Z14" i="4"/>
  <c r="Y14" i="4"/>
  <c r="W14" i="4"/>
  <c r="V14" i="4"/>
  <c r="U14" i="4"/>
  <c r="X14" i="4" s="1"/>
  <c r="Y13" i="4"/>
  <c r="X13" i="4"/>
  <c r="AA13" i="4" s="1"/>
  <c r="W13" i="4"/>
  <c r="Z13" i="4" s="1"/>
  <c r="V13" i="4"/>
  <c r="U13" i="4"/>
  <c r="W12" i="4"/>
  <c r="Z12" i="4" s="1"/>
  <c r="V12" i="4"/>
  <c r="Y12" i="4" s="1"/>
  <c r="U12" i="4"/>
  <c r="X12" i="4" s="1"/>
  <c r="W11" i="4"/>
  <c r="Z11" i="4" s="1"/>
  <c r="V11" i="4"/>
  <c r="Y11" i="4" s="1"/>
  <c r="U11" i="4"/>
  <c r="X11" i="4" s="1"/>
  <c r="Y10" i="4"/>
  <c r="X10" i="4"/>
  <c r="W10" i="4"/>
  <c r="Z10" i="4" s="1"/>
  <c r="V10" i="4"/>
  <c r="U10" i="4"/>
  <c r="W9" i="4"/>
  <c r="Z9" i="4" s="1"/>
  <c r="V9" i="4"/>
  <c r="Y9" i="4" s="1"/>
  <c r="U9" i="4"/>
  <c r="X9" i="4" s="1"/>
  <c r="W8" i="4"/>
  <c r="Z8" i="4" s="1"/>
  <c r="V8" i="4"/>
  <c r="Y8" i="4" s="1"/>
  <c r="U8" i="4"/>
  <c r="X8" i="4" s="1"/>
  <c r="W7" i="4"/>
  <c r="Z7" i="4" s="1"/>
  <c r="V7" i="4"/>
  <c r="Y7" i="4" s="1"/>
  <c r="U7" i="4"/>
  <c r="X7" i="4" s="1"/>
  <c r="Y6" i="4"/>
  <c r="W6" i="4"/>
  <c r="Z6" i="4" s="1"/>
  <c r="V6" i="4"/>
  <c r="U6" i="4"/>
  <c r="X6" i="4" s="1"/>
  <c r="W5" i="4"/>
  <c r="Z5" i="4" s="1"/>
  <c r="V5" i="4"/>
  <c r="Y5" i="4" s="1"/>
  <c r="U5" i="4"/>
  <c r="X5" i="4" s="1"/>
  <c r="Z4" i="4"/>
  <c r="W4" i="4"/>
  <c r="V4" i="4"/>
  <c r="Y4" i="4" s="1"/>
  <c r="U4" i="4"/>
  <c r="X4" i="4" s="1"/>
  <c r="Y3" i="4"/>
  <c r="X3" i="4"/>
  <c r="W3" i="4"/>
  <c r="Z3" i="4" s="1"/>
  <c r="V3" i="4"/>
  <c r="U3" i="4"/>
  <c r="W2" i="4"/>
  <c r="V2" i="4"/>
  <c r="Y2" i="4" s="1"/>
  <c r="U2" i="4"/>
  <c r="X2" i="4" s="1"/>
  <c r="AA11" i="4" l="1"/>
  <c r="AA12" i="4"/>
  <c r="AA6" i="4"/>
  <c r="AA23" i="4"/>
  <c r="V38" i="4"/>
  <c r="AA35" i="4"/>
  <c r="AA18" i="4"/>
  <c r="AA5" i="4"/>
  <c r="AA9" i="4"/>
  <c r="AA17" i="4"/>
  <c r="AA27" i="4"/>
  <c r="AA10" i="4"/>
  <c r="AA21" i="4"/>
  <c r="W38" i="4"/>
  <c r="AA33" i="4"/>
  <c r="AA34" i="4"/>
  <c r="X38" i="4"/>
  <c r="AA7" i="4"/>
  <c r="AA15" i="4"/>
  <c r="AA32" i="4"/>
  <c r="Y38" i="4"/>
  <c r="AA14" i="4"/>
  <c r="AA25" i="4"/>
  <c r="AA28" i="4"/>
  <c r="AA24" i="4"/>
  <c r="AA30" i="4"/>
  <c r="AA4" i="4"/>
  <c r="AA8" i="4"/>
  <c r="AA16" i="4"/>
  <c r="AA36" i="4"/>
  <c r="AA37" i="4"/>
  <c r="AA31" i="4"/>
  <c r="AA3" i="4"/>
  <c r="AA2" i="4"/>
  <c r="Z2" i="4"/>
  <c r="Z3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tc={69D260A2-CB72-484F-A6B8-25F2ED378E8C}</author>
  </authors>
  <commentList>
    <comment ref="AB1" authorId="0" shapeId="0" xr:uid="{69D260A2-CB72-484F-A6B8-25F2ED378E8C}">
      <text>
        <t>[스레드 댓글]
사용 중인 버전의 Excel에서 이 스레드 댓글을 읽을 수 있지만 파일을 이후 버전의 Excel에서 열면 편집 내용이 모두 제거됩니다. 자세한 정보: https://go.microsoft.com/fwlink/?linkid=870924.
댓글:
    Box Office MOJO 사이트에서 가져온 roi
(최종사용 X)</t>
      </text>
    </comment>
  </commentList>
</comments>
</file>

<file path=xl/sharedStrings.xml><?xml version="1.0" encoding="utf-8"?>
<sst xmlns="http://schemas.openxmlformats.org/spreadsheetml/2006/main" count="570" uniqueCount="294">
  <si>
    <t>Id</t>
  </si>
  <si>
    <t>Title</t>
  </si>
  <si>
    <t>Phase</t>
  </si>
  <si>
    <t>Genres</t>
  </si>
  <si>
    <t>Release Date</t>
  </si>
  <si>
    <t>Director</t>
  </si>
  <si>
    <t>ScreenWriter</t>
  </si>
  <si>
    <t>Producer</t>
  </si>
  <si>
    <t>Cast</t>
  </si>
  <si>
    <t>Plot</t>
  </si>
  <si>
    <t>Language</t>
  </si>
  <si>
    <t>Filming Locations</t>
  </si>
  <si>
    <t>Status</t>
  </si>
  <si>
    <t>Movie Rating</t>
  </si>
  <si>
    <t>Review Rating</t>
  </si>
  <si>
    <t>Movie Run Time</t>
  </si>
  <si>
    <t>Budget</t>
  </si>
  <si>
    <t>Box office (domestic)</t>
  </si>
  <si>
    <t>Box office (international)</t>
  </si>
  <si>
    <t>Box office (worldwide)</t>
  </si>
  <si>
    <t>Gross Profit (domestic)</t>
  </si>
  <si>
    <t>Gross Profit (international)</t>
  </si>
  <si>
    <t>Gross Profit (worldwide)</t>
  </si>
  <si>
    <t>ROI (domestic)</t>
  </si>
  <si>
    <t>ROI (international)</t>
  </si>
  <si>
    <t>ROI (worldwide)</t>
  </si>
  <si>
    <t>Iron Man</t>
  </si>
  <si>
    <t>Action, Adventure, Sci-Fi</t>
  </si>
  <si>
    <t>02-05-2008</t>
  </si>
  <si>
    <t>Jon Favreau</t>
  </si>
  <si>
    <t>Mark Fergus, Hawk Ostby, Art Marcum, Matt Holloway</t>
  </si>
  <si>
    <t>Avi Arad, Kevin Feige</t>
  </si>
  <si>
    <t>Robert Downey Jr., Gwyneth Paltrow, Terrence Howard, Jeff Bridges</t>
  </si>
  <si>
    <t>After being held captive in an Afghan cave, billionaire engineer Tony Stark creates a unique weaponized suit of armor to fight evil.</t>
  </si>
  <si>
    <t>English, Persian, Urdu, Arabic, Hungarian</t>
  </si>
  <si>
    <t>Palmdale Regional Airport, Palmdale, California, USA</t>
  </si>
  <si>
    <t>Released</t>
  </si>
  <si>
    <t>PG-13</t>
  </si>
  <si>
    <t>The Incredible Hulk</t>
  </si>
  <si>
    <t>13-06-2008</t>
  </si>
  <si>
    <t>Louis Leterrier</t>
  </si>
  <si>
    <t>Zak Penn</t>
  </si>
  <si>
    <t>Avi Arad, Gale Anne Hurd, Kevin Feige</t>
  </si>
  <si>
    <t>Edward Norton, Liv Tyler, Tim Roth</t>
  </si>
  <si>
    <t>Bruce Banner, a scientist on the run from the U.S. Government, must find a cure for the monster he turns into, whenever he loses his temper.</t>
  </si>
  <si>
    <t>English, Portuguese, Spanish</t>
  </si>
  <si>
    <t>Cherry Street Bridge, Toronto, Ontario, Canada</t>
  </si>
  <si>
    <t>Iron Man 2</t>
  </si>
  <si>
    <t>07-05-2010</t>
  </si>
  <si>
    <t>Justin Theroux</t>
  </si>
  <si>
    <t>Kevin Feige</t>
  </si>
  <si>
    <t>Robert Downey Jr., Mickey Rourke, Gwyneth Paltrow, Don Cheadle, Scarlett Johansson</t>
  </si>
  <si>
    <t>With the world now aware of his identity as Iron Man, Tony Stark must contend with both his declining health and a vengeful mad man with ties to his father's legacy.</t>
  </si>
  <si>
    <t>English, French, Russian</t>
  </si>
  <si>
    <t>D.C. Stages, 1360 East 6th Street, Downtown, Los Angeles, California, USA</t>
  </si>
  <si>
    <t>Thor</t>
  </si>
  <si>
    <t>Action, Adventure, Fantasy, Sci-Fi</t>
  </si>
  <si>
    <t>06-05-2011</t>
  </si>
  <si>
    <t>Kenneth Branagh</t>
  </si>
  <si>
    <t>Ashley Edward Miller, Zack Stentz, Don Payne</t>
  </si>
  <si>
    <t>Chris Hemsworth, Anthony Hopkins, Natalie Portman, Tom Hiddleston</t>
  </si>
  <si>
    <t>The powerful but arrogant god Thor (Chris Hemsworth) is cast out of Asgard to live amongst humans in Midgard (Earth), where he soon becomes one of their finest defenders.</t>
  </si>
  <si>
    <t>English</t>
  </si>
  <si>
    <t>Galisteo, New Mexico, USA</t>
  </si>
  <si>
    <t>Captain America: The First Avenger</t>
  </si>
  <si>
    <t>22-07-2011</t>
  </si>
  <si>
    <t>Joe Johnston</t>
  </si>
  <si>
    <t>Christopher Markus, Stephen McFeely</t>
  </si>
  <si>
    <t>Chris Evans, Hugo Weaving, Samuel L. Jackson, Hayley Atwell, Sebastian Stan</t>
  </si>
  <si>
    <t>Steve Rogers, a rejected military soldier transforms into Captain America after taking a dose of a "Super-Soldier serum". But being Captain America comes at a price as he attempts to take down a war monger and a terrorist organization.</t>
  </si>
  <si>
    <t>English, Norwegian, French</t>
  </si>
  <si>
    <t>Stanley Dock, Liverpool, Merseyside, England, UK</t>
  </si>
  <si>
    <t>The Avengers</t>
  </si>
  <si>
    <t>04-05-2012</t>
  </si>
  <si>
    <t>Joss Whedon</t>
  </si>
  <si>
    <t>Robert Downey Jr., Chris Evans, Scarlett Johansson, Jeremy Renner, Chris Hemsworth, Mark Ruffalo, Tom Hiddleston, Clark Gregg, Samuel L. Jackson, Cobie Smulders, Gwyneth Paltrow</t>
  </si>
  <si>
    <t>Earth's mightiest heroes must come together and learn to fight as a team if they are going to stop the mischievous Loki and his alien army from enslaving humanity.</t>
  </si>
  <si>
    <t>English, Russian, Hindi</t>
  </si>
  <si>
    <t>Pittsburgh, Pennsylvania, USA</t>
  </si>
  <si>
    <t>Iron Man 3</t>
  </si>
  <si>
    <t>03-05-2013</t>
  </si>
  <si>
    <t>Shane Black</t>
  </si>
  <si>
    <t>Drew Pearce, Shane Black</t>
  </si>
  <si>
    <t>Robert Downey Jr., Guy Pearce, Gwyneth Paltrow, Don Cheadle</t>
  </si>
  <si>
    <t>When Tony Stark's world is torn apart by a formidable terrorist called the Mandarin, he starts an odyssey of rebuilding and retribution.</t>
  </si>
  <si>
    <t>Cary, North Carolina, USA</t>
  </si>
  <si>
    <t>Thor: The Dark World</t>
  </si>
  <si>
    <t>Action, Adventure, Fantasy</t>
  </si>
  <si>
    <t>08-11-2013</t>
  </si>
  <si>
    <t>Alan Taylor</t>
  </si>
  <si>
    <t>Christopher Yost, Christopher Markus, Stephen McFeely</t>
  </si>
  <si>
    <t>Chris Hemsworth, Natalie Portman, Tom Hiddleston, Anthony Hopkins</t>
  </si>
  <si>
    <t>When Dr. Jane Foster (Natalie Portman) gets cursed with a powerful entity known as the Aether, Thor is heralded of the cosmic event known as the Convergence and the genocidal Dark Elves.</t>
  </si>
  <si>
    <t>Shepperton Studios, Shepperton, Surrey, England, UK</t>
  </si>
  <si>
    <t>Captain America: The Winter Soldier</t>
  </si>
  <si>
    <t>Action, Adventure, Sci-Fi, Thriller</t>
  </si>
  <si>
    <t>04-04-2014</t>
  </si>
  <si>
    <t>Anthony Russo, Joe Russo</t>
  </si>
  <si>
    <t>Chris Evans, Samuel L. Jackson, Scarlett Johansson, Robert Redford, Sebastian Stan, Cobie Smulders, Anthony Mackie</t>
  </si>
  <si>
    <t>As Steve Rogers struggles to embrace his role in the modern world, he teams up with a fellow Avenger and S.H.I.E.L.D agent, Black Widow, to battle a new threat from history: an assassin known as the Winter Soldier.</t>
  </si>
  <si>
    <t>English, French</t>
  </si>
  <si>
    <t>Los Angeles, California, USA</t>
  </si>
  <si>
    <t>Guardians of the Galaxy</t>
  </si>
  <si>
    <t>Action, Adventure, Comedy, Sci-Fi</t>
  </si>
  <si>
    <t>01-08-2014</t>
  </si>
  <si>
    <t>James Gunn</t>
  </si>
  <si>
    <t>James Gunn, Nicole Perlman</t>
  </si>
  <si>
    <t>Chris Pratt, Vin Diesel, Bradley Cooper, Zoe Saldana, Dave Bautista, Michael Rooker, Karen Gillan</t>
  </si>
  <si>
    <t>A group of intergalactic criminals must pull together to stop a fanatical warrior with plans to purge the universe.</t>
  </si>
  <si>
    <t>Avengers: Age of Ultron</t>
  </si>
  <si>
    <t>01-05-2015</t>
  </si>
  <si>
    <t>Robert Downey Jr., Chris Evans, Mark Ruffalo, Chris Hemsworth, Scarlett Johansson, Jeremy Renner, Samuel L. Jackson, Aaron Taylor-Johnson, Elizabeth Olsen, Paul Bettany, Cobie Smulders, Anthony Mackie, Hayley Atwell</t>
  </si>
  <si>
    <t>When Tony Stark and Bruce Banner try to jump-start a dormant peacekeeping program called Ultron, things go horribly wrong and it's up to Earth's mightiest heroes to stop the villainous Ultron from enacting his terrible plan.</t>
  </si>
  <si>
    <t>English, Korean</t>
  </si>
  <si>
    <t>Ant-Man</t>
  </si>
  <si>
    <t>17-07-2015</t>
  </si>
  <si>
    <t>Peyton Reed</t>
  </si>
  <si>
    <t>Edgar Wright, Joe Cornish, Adam McKay, Paul Rudd</t>
  </si>
  <si>
    <t>Paul Rudd, Michael Douglas, Corey Stoll, Evangeline Lilly</t>
  </si>
  <si>
    <t>Armed with a super-suit with the astonishing ability to shrink in scale but increase in strength, cat burglar Scott Lang must embrace his inner hero and help his mentor, Dr. Hank Pym, plan and pull off a heist that will save the world.</t>
  </si>
  <si>
    <t>Pinewood Atlanta Studios, 461 Sandy Creek Road, Fayetteville, Georgia, USA</t>
  </si>
  <si>
    <t>Captain America: Civil War</t>
  </si>
  <si>
    <t>06-05-2016</t>
  </si>
  <si>
    <t>Chris Evans, Robert Downey Jr., Scarlett Johansson, Sebastian Stan, Anthony Mackie, Don Cheadle, Jeremy Renner, Chadwick Boseman, Paul Bettany, Elizabeth Olsen, Paul Rudd, Tom Holland</t>
  </si>
  <si>
    <t>Political involvement in the Avengers' affairs causes a rift between Captain America and Iron Man.</t>
  </si>
  <si>
    <t>English, German, Xhosa, Russian, Romanian, Hindi</t>
  </si>
  <si>
    <t>Atlanta, Georgia, USA</t>
  </si>
  <si>
    <t>Doctor Strange</t>
  </si>
  <si>
    <t>04-11-2016</t>
  </si>
  <si>
    <t>Scott Derrickson</t>
  </si>
  <si>
    <t>Jon Spaihts, Scott Derrickson, Robert Cargill</t>
  </si>
  <si>
    <t>Benedict Cumberbatch, Chiwetel Ejiofor, Rachel McAdams, Benedict Wong, Tilda Swinton</t>
  </si>
  <si>
    <t>While on a journey of physical and spiritual healing, a brilliant neurosurgeon is drawn into the world of the mystic arts.</t>
  </si>
  <si>
    <t>New York City, New York, USA</t>
  </si>
  <si>
    <t>Guardians of the Galaxy Vol. 2</t>
  </si>
  <si>
    <t>05-05-2017</t>
  </si>
  <si>
    <t>Chris Pratt, Zoe Saldana, Dave Bautista, Vin Diesel, Bradley Cooper, Michael Rooker, Karen Gillan, Pom Klementieff, Sylvester Stallone</t>
  </si>
  <si>
    <t>The Guardians struggle to keep together as a team while dealing with their personal family issues, notably Star-Lord's encounter with his father the ambitious celestial being Ego.</t>
  </si>
  <si>
    <t>Spider-Man: Homecoming</t>
  </si>
  <si>
    <t>07-07-2017</t>
  </si>
  <si>
    <t>Jon Watts</t>
  </si>
  <si>
    <t>Jonathan Goldstein, John Francis Daley, Jon Watts, Christopher Ford, Chris McKenna,  Erik Sommers</t>
  </si>
  <si>
    <t>Kevin Feige, Amy Pascal</t>
  </si>
  <si>
    <t>Tom Holland, Michael Keaton, Robert Downey Jr., Marisa Tomei, Zendaya, Jon Favreau, Gwyneth Paltrow</t>
  </si>
  <si>
    <t>Peter Parker balances his life as an ordinary high school student in Queens with his superhero alter-ego Spider-Man, and finds himself on the trail of a new menace prowling the skies of New York City.</t>
  </si>
  <si>
    <t>English, Spanish</t>
  </si>
  <si>
    <t>Thor: Ragnarok</t>
  </si>
  <si>
    <t>Action, Adventure, Comedy, Fantasy, Sci-Fi</t>
  </si>
  <si>
    <t>03-11-2017</t>
  </si>
  <si>
    <t>Taika Waititi</t>
  </si>
  <si>
    <t>Eric Pearson, Craig Kyle, Christopher Yost</t>
  </si>
  <si>
    <t>Chris Hemsworth, Tom Hiddleston, Cate Blanchett, Mark Ruffalo</t>
  </si>
  <si>
    <t>Thor (Chris Hemsworth) is imprisoned on the planet Sakaar, and must race against time to return to Asgard and stop Ragnar철k, the destruction of his world, at the hands of the powerful and ruthless villain Hela (Cate Blanchett).</t>
  </si>
  <si>
    <t>Village Roadshow Studios, Oxenford, Queensland, Australia</t>
  </si>
  <si>
    <t>Black Panther</t>
  </si>
  <si>
    <t>16-02-2018</t>
  </si>
  <si>
    <t>Ryan Coogler</t>
  </si>
  <si>
    <t>Ryan Coogler, Joe Robert Cole</t>
  </si>
  <si>
    <t>Chadwick Boseman, Michael B. Jordan, Lupita Nyong'o, Danai Gurira, Letitia Wright, Winston Duke</t>
  </si>
  <si>
    <t>T'Challa, heir to the hidden but advanced kingdom of Wakanda, must step forward to lead his people into a new future and must confront a challenger from his country's past.</t>
  </si>
  <si>
    <t>English, Swahili, Nama, Xhosa, Korean</t>
  </si>
  <si>
    <t>Avengers: Infinity War</t>
  </si>
  <si>
    <t>27-04-2018</t>
  </si>
  <si>
    <t>Chris Hemsworth, Chris Evans, Robert Downey Jr., Mark Ruffalo, Scarlett Johansson, Sebastian Stan, Anthony Mackie, Don Cheadle, Jeremy Renner, Chadwick Boseman, Paul Bettany, Elizabeth Olsen, Paul Rudd, Tom Holland, Zoe Saldana, Karen Gillan, Benedict Cumberbatch, Tom Hiddleston, Benedict Wong, Pom Klementieff, Dave Bautista, Vin Diesel, Bradley Cooper, Gwyneth Paltrow, Josh Brolin, Chris Pratt, Letitia Wright</t>
  </si>
  <si>
    <t>The Avengers and their allies must be willing to sacrifice all in an attempt to defeat the powerful Thanos before his blitz of devastation and ruin puts an end to the universe.</t>
  </si>
  <si>
    <t>Ant-Man and the Wasp</t>
  </si>
  <si>
    <t>06-07-2018</t>
  </si>
  <si>
    <t>Chris McKenna, Erik Sommers, Paul Rudd, Andrew Barrer, Gabriel Ferrari</t>
  </si>
  <si>
    <t>Kevin Feige, Stephen Broussard</t>
  </si>
  <si>
    <t>Paul Rudd, Evangeline Lilly, Michael Pena, Walton Goggins, Hannah John-Kamen, Michelle Pfeiffer, Michael Douglas</t>
  </si>
  <si>
    <t>As Scott Lang balances being both a Super Hero and a father, Hope van Dyne and Dr. Hank Pym present an urgent new mission that finds the Ant-Man fighting alongside The Wasp to uncover secrets from their past.</t>
  </si>
  <si>
    <t>Captain Marvel</t>
  </si>
  <si>
    <t>08-03-2019</t>
  </si>
  <si>
    <t>Anna Boden, Ryan Fleck</t>
  </si>
  <si>
    <t>Anna Boden, Ryan Fleck, Geneva Robertson-Dworet</t>
  </si>
  <si>
    <t>Brie Larson, Samuel L. Jackson, Ben Mendelsohn, Jude Law, Annette Bening, Lee Pace</t>
  </si>
  <si>
    <t>Carol Danvers becomes one of the universe's most powerful heroes when Earth is caught in the middle of a galactic war between two alien races.</t>
  </si>
  <si>
    <t>Avengers: Endgame</t>
  </si>
  <si>
    <t>26-04-2019</t>
  </si>
  <si>
    <t>Robert Downey Jr., Chris Evans, Mark Ruffalo, Chris Hemsworth, Scarlett Johansson, Jeremy Renner, Don Cheadle, Paul Rudd, Benedict Cumberbatch, Chadwick Boseman, Brie Larson, Tom Holland, Karen Gillan, Zoe Saldana, Evangeline Lilly, Tessa Thompson, Rene Russo, Elizabeth Olsen, Anthony Mackie, Sebastian Stan, Tom Hiddleston, Danai Gurira, Benedict Wong, Pom Klementieff, Dave Bautista, Letitia Wright, Tilda Swinton, Jon Favreau, Michelle Pfeiffer, Vin Diesel, Bradley Cooper, Josh Brolin, Chris Pratt, Samuel L. Jackson</t>
  </si>
  <si>
    <t>After the devastating events of Avengers: Infinity War (2018), the universe is in ruins. With the help of remaining allies, the Avengers assemble once more in order to undo Thanos' actions and restore order to the universe.</t>
  </si>
  <si>
    <t>English, Japanese, Xhosa</t>
  </si>
  <si>
    <t>Atlanta,Georgia,USA</t>
  </si>
  <si>
    <t>Spider-Man: Far from Home</t>
  </si>
  <si>
    <t>02-07-2019</t>
  </si>
  <si>
    <t>Chris McKenna, Erik Sommers</t>
  </si>
  <si>
    <t>Tom Holland, Samuel L. Jackson, Jake Gyllenhaal, Marisa Tomei, Zendaya, Cobie Smulders, Jon Favreau</t>
  </si>
  <si>
    <t>Following the events of Avengers: Endgame, Spider-Man must step up to take on new threats in a world that has changed forever.</t>
  </si>
  <si>
    <t>Hertfordshire, England, UK</t>
  </si>
  <si>
    <t>Black Widow</t>
  </si>
  <si>
    <t>07-05-2021</t>
  </si>
  <si>
    <t>Cate Shortland</t>
  </si>
  <si>
    <t>Eric Pearson</t>
  </si>
  <si>
    <t>Scarlett Johansson, Florence Pugh, David Harbour, William Hurt, Ray Winstone, Rachel Weisz, Olga Kurylenko</t>
  </si>
  <si>
    <t>At birth the Black Widow "aka Natasha Romanova" is given to the KGB, which grooms her to become its ultimate operative. When the U.S.S.R. breaks up, the government tries to kill her as the action moves to present-day New York, where she is a freelance operative</t>
  </si>
  <si>
    <t>Shang-Chi and the Legend of the Ten Rings</t>
  </si>
  <si>
    <t>09-07-2021</t>
  </si>
  <si>
    <t>Destin Daniel Cretton</t>
  </si>
  <si>
    <t>David Callaham, Destin Daniel Cretton, Andrew Lanham</t>
  </si>
  <si>
    <t>Michelle Yeoh, Awkwafina, Simu Liu, Tony Leung Chiu-wai, Ben Kingsley</t>
  </si>
  <si>
    <t>Martial-arts master Shang-Chi confronts the past he thought he left behind when he's drawn into the web of the mysterious Ten Rings organization.</t>
  </si>
  <si>
    <t>Eternals</t>
  </si>
  <si>
    <t>Action, Adventure, Drama, Fantasy, Sci-Fi</t>
  </si>
  <si>
    <t>05-11-2021</t>
  </si>
  <si>
    <t>Chloe Zhao</t>
  </si>
  <si>
    <t>Chloe Zhao, Patrick Burleigh, Ryan Firpo, Kaz Firpo</t>
  </si>
  <si>
    <t>Gemma Chan, Angelina Jolie, Salma Hayek, Richard Madden, Kit Harington, Kumail Nanjiani, Lia McHugh, Brian Tyree Henry, Lauran Ridloff, Barry Keoghan, Ma Dong-seok, Harish Patel</t>
  </si>
  <si>
    <t>Following the events of Avengers: Endgame (2019), an unexpected tragedy forces the Eternals, ancient aliens who have been living on Earth in secret for thousands of years, out of the shadows to reunite against mankind's most ancient enemy, the Deviants.</t>
  </si>
  <si>
    <t>Spider-Man: No Way Home</t>
  </si>
  <si>
    <t>17-12-2021</t>
  </si>
  <si>
    <t>Tom Holland, Zendaya, Benedict Cumberbatch, Jon Favreau, Willem Dafoe, Alfred Molina, Benedict Wong, Marisa Tomei, Andrew Garfield, Tobey Maguire</t>
  </si>
  <si>
    <t>Peter Parker's secret identity is revealed to the entire world. Desperate for help, Peter turns to Doctor Strange to make the world forget that he is Spider-Man. The spell goes horribly wrong and shatters the multiverse, bringing in monstrous villains that could destroy the world.</t>
  </si>
  <si>
    <t>Doctor Strange in the Multiverse of Madness</t>
  </si>
  <si>
    <t>Action, Adventure, Fantasy, Horror, Sci-Fi</t>
  </si>
  <si>
    <t>25-03-2022</t>
  </si>
  <si>
    <t>Sam Raimi</t>
  </si>
  <si>
    <t>Jade Bartlett, Michael Waldron</t>
  </si>
  <si>
    <t>Rachel McAdams, Benedict Cumberbatch, Elizabeth Olsen, Chiwetel Ejiofor, Benedict Wong, Xochitl Gomez, Patrick Stewart</t>
  </si>
  <si>
    <t>After the events of Avengers: Endgame, Dr. Stephen Strange continues his research on the Time Stone. But an old friend turned enemy seeks to destroy every sorcerer on Earth, messing with Strange's plan and also causing him to unleash an unspeakable evil.</t>
  </si>
  <si>
    <t>Thor: Love and Thunder</t>
  </si>
  <si>
    <t>06-05-2022</t>
  </si>
  <si>
    <t>Taika Waititi, Jennifer Kaytin Robinson</t>
  </si>
  <si>
    <t>Chris Hemsworth, Natalie Portman, Christian Bale, Tessa Thompson, Chris Pratt, Dave Bautista, Keran Gillan, Pom Klementieff, Vin Diesel, Bradley Cooper, Kat Dennings</t>
  </si>
  <si>
    <t>Thor embarks on a journey unlike anything he's ever faced -- a quest for inner peace. However, his retirement gets interrupted by Gorr the God Butcher, a galactic killer who seeks the extinction of the gods. To combat the threat, Thor enlists the help of King Valkyrie, Korg and ex-girlfriend Jane Foster, who -- to his surprise -- inexplicably wields his magical hammer. Together, they set out on a harrowing cosmic adventure to uncover the mystery of the God Butcher's vengeance.</t>
  </si>
  <si>
    <t>Black Panther II</t>
  </si>
  <si>
    <t>Action, Adventure, Drama, Sci-Fi, Thriller</t>
  </si>
  <si>
    <t>08-07-2022</t>
  </si>
  <si>
    <t>Danai Gurira, Letitia Wright, Lupita Nyong'o, Winston Duke, Angela Bassett, Tenoch, Huerta, Martin Freeman</t>
  </si>
  <si>
    <t>Queen Ramonda, Shuri, M'Baku, Okoye and the Dora Milaje fight to protect their nation from intervening world powers in the wake of King T'Challa's death. As the Wakandans strive to embrace their next chapter, the heroes must band together with Nakia and Everett Ross to forge a new path for their beloved kingdom.</t>
  </si>
  <si>
    <t>The Marvels</t>
  </si>
  <si>
    <t>Nia DaCosta</t>
  </si>
  <si>
    <t>Megan McDonnell, Nia DaCosta, Elissa Karasik</t>
  </si>
  <si>
    <t>Brie Larson, Samuel L. Jackson, Ben Mendelsohn, Jude Law, Teyonah Parris, Iman Vellani, Park Seo-joon, Tessa Thompson</t>
  </si>
  <si>
    <t>Carol Danvers, aka Captain Marvel, has reclaimed her identity from the tyrannical Kree and taken revenge on the Supreme Intelligence. However, unintended consequences see her shouldering the burden of a destabilized universe. When her duties send her to an anomalous wormhole linked to a Kree revolutionary, her powers become entangled with two other superheroes to form the Marvels.</t>
  </si>
  <si>
    <t>Ant-Man and the Wasp: Quantumania</t>
  </si>
  <si>
    <t>Action, Adventure, Comedy, Mystery, Sci-Fi, Thriller</t>
  </si>
  <si>
    <t>Jeff Loveness</t>
  </si>
  <si>
    <t>Kathryn Newton, Evangeline Lilly, Paul Rudd, Michael Douglas, Michelle Pfeiffer, Jonathan Majors, Corey Stoll</t>
  </si>
  <si>
    <t>Ant-Man and the Wasp find themselves exploring the Quantum Realm, interacting with strange new creatures and embarking on an adventure that pushes them beyond the limits of what they thought was possible.</t>
  </si>
  <si>
    <t>Guardians of the Galaxy Vol. 3</t>
  </si>
  <si>
    <t>Action, Adventure, Comedy, Sci-Fi, Thriller</t>
  </si>
  <si>
    <t>Chukwudi Iwuji, Bradley Cooper, Pom Klementieff, Dave Bautista, Karen Gillan, Vin Diesel, Stephen Blackehart, Chris Pratt, Sylvester Stallone, Will Poulter</t>
  </si>
  <si>
    <t>Still reeling from the loss of Gamora, Peter Quill must rally his team to defend the universe and protect one of their own. If the mission is not completely successful, it could possibly lead to the end of the Guardians as we know them.</t>
  </si>
  <si>
    <t>Deadpool &amp; Wolverine</t>
  </si>
  <si>
    <t>Action, Comedy</t>
  </si>
  <si>
    <t>25-07-2024</t>
  </si>
  <si>
    <t>Shawn Levy</t>
  </si>
  <si>
    <t>Rhett Reese, Ryan Reynolds, Paul Wernick, Zeb Wells, Shawn Levy</t>
  </si>
  <si>
    <t>Kevin Feige, Lauren Shuler Donner</t>
  </si>
  <si>
    <t>Ryan Reynolds, Hugh Jackman, Emma Corrin, Jennifer Garner, Wesley Snipes, Channing Tatum, Jon Favreau</t>
  </si>
  <si>
    <t>Deadpool works with a reluctant Wolverine from another universe to stop the Time Variance Authority (TVA) from destroying his own universe.</t>
  </si>
  <si>
    <t>R</t>
  </si>
  <si>
    <t>Captain America: Brave New World</t>
  </si>
  <si>
    <t>Action, Adventure, Sci-Fi, Fantasy</t>
  </si>
  <si>
    <t>14-02-2025</t>
  </si>
  <si>
    <t>Julius Onah</t>
  </si>
  <si>
    <t>Rob Edwards, Malcolm Spellman, Dalan Musson, Julius Onah, Peter Glanz</t>
  </si>
  <si>
    <t>Kevin Feige, Nate Moore</t>
  </si>
  <si>
    <t>Anthony Mackie, Harrison Ford, Danny Ramirez</t>
  </si>
  <si>
    <t>Sam finds himself in the middle of an international incident after meeting with President Thaddeus Ross. He must soon discover the reason behind a nefarious global plot before the true mastermind has the entire world seeing red.</t>
  </si>
  <si>
    <t>Thunderbolts*</t>
  </si>
  <si>
    <t>Political Drama, Superhero, Action, Adventure, Crime, Drama, Fantasy, Sci-Fi</t>
  </si>
  <si>
    <t>02-05-2025</t>
  </si>
  <si>
    <t>Jake Scherier</t>
  </si>
  <si>
    <t>Eric Pearson, Joanna Calo</t>
  </si>
  <si>
    <t>Florence Pugh, Sebastian Stan, Julia Louis Dreyfus, Lewis Pullman, David Harbour, Wyatt Russell, Hannah John-Kamen, Olga Kurylenko</t>
  </si>
  <si>
    <t>After finding themselves ensnared in a death trap, an unconventional team of antiheroes must go on a dangerous mission that will force them to confront the darkest corners of their pasts.</t>
  </si>
  <si>
    <t>English, Russian</t>
  </si>
  <si>
    <t>roi difference</t>
  </si>
  <si>
    <t>roi difference</t>
    <phoneticPr fontId="18" type="noConversion"/>
  </si>
  <si>
    <t>Centrality</t>
  </si>
  <si>
    <t>Captain America:
The First Avenger</t>
  </si>
  <si>
    <t>Spider-Man:
Far from Home</t>
  </si>
  <si>
    <t>Shang-Chi and the
Legend of the Ten Rings</t>
  </si>
  <si>
    <t>Captain America:
The Winter Soldier</t>
  </si>
  <si>
    <t>Spider-Man:
No Way Home</t>
  </si>
  <si>
    <t>Doctor Strange in the
Multiverse of Madness</t>
  </si>
  <si>
    <t>Avengers:
Age of Ultron</t>
  </si>
  <si>
    <t>Ant-Man and the Wasp:
Quantumania</t>
  </si>
  <si>
    <t>Spider-Man:
Homecoming</t>
  </si>
  <si>
    <t>Captain America:
Brave New World</t>
  </si>
  <si>
    <t>Captain America:
Civil War</t>
    <phoneticPr fontId="18" type="noConversion"/>
  </si>
  <si>
    <t>ROI</t>
    <phoneticPr fontId="18" type="noConversion"/>
  </si>
  <si>
    <t>03-05-2023</t>
    <phoneticPr fontId="18" type="noConversion"/>
  </si>
  <si>
    <t>17-02-2023</t>
    <phoneticPr fontId="18" type="noConversion"/>
  </si>
  <si>
    <t>08-11-2023</t>
    <phoneticPr fontId="18" type="noConversion"/>
  </si>
  <si>
    <t>The Marvels</t>
    <phoneticPr fontId="18" type="noConversion"/>
  </si>
  <si>
    <t>ROI (mojo)</t>
    <phoneticPr fontId="18" type="noConversion"/>
  </si>
  <si>
    <t>Black Panther: Wakanda Forever</t>
    <phoneticPr fontId="18" type="noConversion"/>
  </si>
  <si>
    <t>Year</t>
    <phoneticPr fontId="18" type="noConversion"/>
  </si>
  <si>
    <t>Real GDP growth (annual %)</t>
    <phoneticPr fontId="18" type="noConversion"/>
  </si>
  <si>
    <t>COVID-19</t>
    <phoneticPr fontId="18" type="noConversion"/>
  </si>
  <si>
    <t>Ant-Man and the Wasp: Quantumania</t>
    <phoneticPr fontId="18" type="noConversion"/>
  </si>
  <si>
    <t>Eigenvector centrality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</si>
</sst>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24" formatCode="\$#,##0_);[Red]\(\$#,##0\)"/>
    <numFmt numFmtId="176" formatCode="0.0000"/>
    <numFmt numFmtId="177" formatCode="0.000"/>
  </numFmts>
  <fonts count="23">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b/>
      <sz val="8"/>
      <color theme="1"/>
      <name val="나눔고딕"/>
      <family val="3"/>
      <charset val="129"/>
    </font>
    <font>
      <sz val="10"/>
      <color theme="1"/>
      <name val="나눔명조"/>
      <family val="1"/>
      <charset val="129"/>
    </font>
    <font>
      <b/>
      <sz val="10"/>
      <color theme="1"/>
      <name val="나눔명조"/>
      <family val="1"/>
      <charset val="129"/>
    </font>
    <font>
      <sz val="11"/>
      <color indexed="8"/>
      <name val="Calibri"/>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style="double">
        <color indexed="64"/>
      </bottom>
      <diagonal/>
    </border>
    <border>
      <left/>
      <right/>
      <top/>
      <bottom style="medium">
        <color indexed="6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2" fillId="0" borderId="0" applyFill="0" applyProtection="0"/>
  </cellStyleXfs>
  <cellXfs count="45">
    <xf numFmtId="0" fontId="0" fillId="0" borderId="0" xfId="0">
      <alignment vertical="center"/>
    </xf>
    <xf numFmtId="24" fontId="0" fillId="0" borderId="0" xfId="0" applyNumberFormat="1">
      <alignment vertical="center"/>
    </xf>
    <xf numFmtId="3" fontId="0" fillId="0" borderId="0" xfId="0" applyNumberFormat="1">
      <alignment vertical="center"/>
    </xf>
    <xf numFmtId="0" fontId="0" fillId="33" borderId="0" xfId="0" applyFill="1">
      <alignment vertical="center"/>
    </xf>
    <xf numFmtId="4" fontId="0" fillId="0" borderId="0" xfId="0" applyNumberFormat="1">
      <alignment vertical="center"/>
    </xf>
    <xf numFmtId="0" fontId="0" fillId="34" borderId="0" xfId="0" applyFill="1">
      <alignment vertical="center"/>
    </xf>
    <xf numFmtId="0" fontId="0" fillId="36" borderId="0" xfId="0" applyFill="1">
      <alignment vertical="center"/>
    </xf>
    <xf numFmtId="176" fontId="0" fillId="0" borderId="0" xfId="0" applyNumberFormat="1">
      <alignment vertical="center"/>
    </xf>
    <xf numFmtId="176" fontId="0" fillId="33" borderId="0" xfId="0" applyNumberFormat="1" applyFill="1">
      <alignment vertical="center"/>
    </xf>
    <xf numFmtId="0" fontId="21" fillId="37" borderId="11" xfId="0" applyFont="1" applyFill="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20" fillId="0" borderId="10" xfId="0" applyFont="1" applyBorder="1" applyAlignment="1">
      <alignment horizontal="center" vertical="center"/>
    </xf>
    <xf numFmtId="0" fontId="21" fillId="37" borderId="12" xfId="0" applyFont="1" applyFill="1" applyBorder="1" applyAlignment="1">
      <alignment horizontal="center" vertical="center"/>
    </xf>
    <xf numFmtId="0" fontId="20" fillId="0" borderId="13" xfId="0" applyFont="1" applyBorder="1" applyAlignment="1">
      <alignment horizontal="center" vertical="center"/>
    </xf>
    <xf numFmtId="0" fontId="20" fillId="0" borderId="13" xfId="0" applyFont="1" applyBorder="1" applyAlignment="1">
      <alignment horizontal="center" vertical="center" wrapText="1"/>
    </xf>
    <xf numFmtId="0" fontId="21" fillId="36" borderId="13" xfId="0" applyFont="1" applyFill="1" applyBorder="1" applyAlignment="1">
      <alignment horizontal="center" vertical="center"/>
    </xf>
    <xf numFmtId="0" fontId="21" fillId="36" borderId="13" xfId="0" applyFont="1" applyFill="1" applyBorder="1" applyAlignment="1">
      <alignment horizontal="center" vertical="center" wrapText="1"/>
    </xf>
    <xf numFmtId="0" fontId="20" fillId="0" borderId="14" xfId="0" applyFont="1" applyBorder="1" applyAlignment="1">
      <alignment horizontal="center" vertical="center" wrapText="1"/>
    </xf>
    <xf numFmtId="0" fontId="20" fillId="0" borderId="17" xfId="0" applyFont="1" applyBorder="1" applyAlignment="1">
      <alignment horizontal="center" vertical="center"/>
    </xf>
    <xf numFmtId="2" fontId="20" fillId="0" borderId="0" xfId="0" applyNumberFormat="1" applyFont="1" applyAlignment="1">
      <alignment horizontal="center" vertical="center"/>
    </xf>
    <xf numFmtId="2" fontId="20" fillId="0" borderId="16" xfId="0" applyNumberFormat="1" applyFont="1" applyBorder="1" applyAlignment="1">
      <alignment horizontal="center" vertical="center"/>
    </xf>
    <xf numFmtId="177" fontId="20" fillId="0" borderId="0" xfId="0" applyNumberFormat="1" applyFont="1" applyAlignment="1">
      <alignment horizontal="center" vertical="center"/>
    </xf>
    <xf numFmtId="177" fontId="20" fillId="0" borderId="15" xfId="0" applyNumberFormat="1" applyFont="1" applyBorder="1" applyAlignment="1">
      <alignment horizontal="center" vertical="center"/>
    </xf>
    <xf numFmtId="177" fontId="20" fillId="0" borderId="16" xfId="0" applyNumberFormat="1" applyFont="1" applyBorder="1" applyAlignment="1">
      <alignment horizontal="center" vertical="center"/>
    </xf>
    <xf numFmtId="177" fontId="21" fillId="36" borderId="0" xfId="0" applyNumberFormat="1" applyFont="1" applyFill="1" applyAlignment="1">
      <alignment horizontal="center" vertical="center"/>
    </xf>
    <xf numFmtId="177" fontId="20" fillId="0" borderId="10" xfId="0" applyNumberFormat="1" applyFont="1" applyBorder="1" applyAlignment="1">
      <alignment horizontal="center" vertical="center"/>
    </xf>
    <xf numFmtId="2" fontId="20" fillId="0" borderId="10" xfId="0" applyNumberFormat="1" applyFont="1" applyBorder="1" applyAlignment="1">
      <alignment horizontal="center" vertical="center"/>
    </xf>
    <xf numFmtId="2" fontId="21" fillId="36" borderId="0" xfId="0" applyNumberFormat="1" applyFont="1" applyFill="1" applyAlignment="1">
      <alignment horizontal="center" vertical="center"/>
    </xf>
    <xf numFmtId="0" fontId="20" fillId="38" borderId="0" xfId="0" applyFont="1" applyFill="1" applyAlignment="1">
      <alignment horizontal="center" vertical="center"/>
    </xf>
    <xf numFmtId="0" fontId="0" fillId="0" borderId="18" xfId="0" applyBorder="1">
      <alignment vertical="center"/>
    </xf>
    <xf numFmtId="24" fontId="0" fillId="0" borderId="18" xfId="0" applyNumberFormat="1" applyBorder="1">
      <alignment vertical="center"/>
    </xf>
    <xf numFmtId="3" fontId="0" fillId="0" borderId="18" xfId="0" applyNumberFormat="1" applyBorder="1">
      <alignment vertical="center"/>
    </xf>
    <xf numFmtId="176" fontId="0" fillId="0" borderId="18" xfId="0" applyNumberFormat="1" applyBorder="1">
      <alignment vertical="center"/>
    </xf>
    <xf numFmtId="0" fontId="0" fillId="33" borderId="18" xfId="0" applyFill="1" applyBorder="1">
      <alignment vertical="center"/>
    </xf>
    <xf numFmtId="176" fontId="0" fillId="33" borderId="18" xfId="0" applyNumberFormat="1" applyFill="1" applyBorder="1">
      <alignment vertical="center"/>
    </xf>
    <xf numFmtId="0" fontId="0" fillId="0" borderId="0" xfId="0" quotePrefix="1">
      <alignment vertical="center"/>
    </xf>
    <xf numFmtId="4" fontId="0" fillId="35" borderId="0" xfId="0" applyNumberFormat="1" applyFill="1">
      <alignment vertical="center"/>
    </xf>
    <xf numFmtId="4" fontId="0" fillId="35" borderId="18" xfId="0" applyNumberFormat="1" applyFill="1" applyBorder="1">
      <alignment vertical="center"/>
    </xf>
    <xf numFmtId="0" fontId="0" fillId="39" borderId="0" xfId="0" applyFill="1">
      <alignment vertical="center"/>
    </xf>
    <xf numFmtId="0" fontId="20" fillId="36" borderId="16" xfId="0" applyFont="1" applyFill="1" applyBorder="1" applyAlignment="1">
      <alignment horizontal="center" vertical="center"/>
    </xf>
    <xf numFmtId="2" fontId="20" fillId="36" borderId="16" xfId="0" applyNumberFormat="1" applyFont="1" applyFill="1" applyBorder="1" applyAlignment="1">
      <alignment horizontal="center" vertical="center"/>
    </xf>
    <xf numFmtId="177" fontId="20" fillId="36" borderId="16" xfId="0" applyNumberFormat="1" applyFont="1" applyFill="1" applyBorder="1" applyAlignment="1">
      <alignment horizontal="center" vertical="center"/>
    </xf>
    <xf numFmtId="0" fontId="19" fillId="0" borderId="0" xfId="0" applyFont="1" applyAlignment="1">
      <alignment horizontal="center" vertical="center"/>
    </xf>
    <xf numFmtId="0" fontId="0" fillId="0" borderId="0" xfId="0" applyFill="1" applyBorder="1">
      <alignment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표준 2" xfId="42" xr:uid="{1F1185BC-94BB-45F8-8E68-1A0A5FEAA0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신재연" id="{3D70BBEA-799D-4FF2-9B76-C92E25656991}" userId="S::sjyeon1443@o365.yonsei.ac.kr::c0974190-44a4-4379-9b20-e7f9439cd006"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B1" dT="2025-08-12T02:18:27.57" personId="{3D70BBEA-799D-4FF2-9B76-C92E25656991}" id="{69D260A2-CB72-484F-A6B8-25F2ED378E8C}">
    <text>Box Office MOJO 사이트에서 가져온 roi
(최종사용 X)</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84E0-80BC-4F66-951F-FB0AA951664B}">
  <dimension ref="A1:AQ51"/>
  <sheetViews>
    <sheetView tabSelected="1" zoomScale="90" zoomScaleNormal="90" workbookViewId="0">
      <pane xSplit="2" ySplit="1" topLeftCell="AG2" activePane="bottomRight" state="frozen"/>
      <selection pane="topRight" activeCell="C1" sqref="C1"/>
      <selection pane="bottomLeft" activeCell="A2" sqref="A2"/>
      <selection pane="bottomRight" activeCell="AL19" sqref="AL19"/>
    </sheetView>
  </sheetViews>
  <sheetFormatPr defaultColWidth="11.109375" defaultRowHeight="17.25"/>
  <cols>
    <col min="2" max="2" width="29.6640625" customWidth="1"/>
    <col min="15" max="16" width="10.88671875" bestFit="1" customWidth="1"/>
    <col min="17" max="17" width="13.33203125" bestFit="1" customWidth="1"/>
    <col min="18" max="18" width="14.109375" bestFit="1" customWidth="1"/>
    <col min="19" max="20" width="14.88671875" bestFit="1" customWidth="1"/>
    <col min="21" max="22" width="14.33203125" bestFit="1" customWidth="1"/>
    <col min="23" max="23" width="15.109375" bestFit="1" customWidth="1"/>
    <col min="24" max="28" width="11" bestFit="1" customWidth="1"/>
    <col min="30" max="30" width="11" bestFit="1" customWidth="1"/>
    <col min="32" max="32" width="37" customWidth="1"/>
    <col min="33" max="33" width="14" customWidth="1"/>
    <col min="34" max="34" width="11" bestFit="1" customWidth="1"/>
    <col min="36" max="36" width="11" bestFit="1" customWidth="1"/>
    <col min="37" max="37" width="11.88671875" bestFit="1" customWidth="1"/>
    <col min="38" max="39" width="12.6640625" bestFit="1" customWidth="1"/>
    <col min="41" max="41" width="26.21875" bestFit="1" customWidth="1"/>
  </cols>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s="6" t="s">
        <v>17</v>
      </c>
      <c r="S1" s="6" t="s">
        <v>18</v>
      </c>
      <c r="T1" s="6" t="s">
        <v>19</v>
      </c>
      <c r="U1" s="5" t="s">
        <v>20</v>
      </c>
      <c r="V1" s="5" t="s">
        <v>21</v>
      </c>
      <c r="W1" s="5" t="s">
        <v>22</v>
      </c>
      <c r="X1" s="39" t="s">
        <v>23</v>
      </c>
      <c r="Y1" s="39" t="s">
        <v>24</v>
      </c>
      <c r="Z1" s="39" t="s">
        <v>25</v>
      </c>
      <c r="AA1" t="s">
        <v>269</v>
      </c>
      <c r="AB1" t="s">
        <v>287</v>
      </c>
      <c r="AF1" t="s">
        <v>1</v>
      </c>
      <c r="AG1" t="s">
        <v>268</v>
      </c>
      <c r="AK1" t="s">
        <v>1</v>
      </c>
      <c r="AL1" t="s">
        <v>23</v>
      </c>
      <c r="AM1" t="s">
        <v>24</v>
      </c>
      <c r="AN1" t="s">
        <v>289</v>
      </c>
      <c r="AO1" t="s">
        <v>290</v>
      </c>
      <c r="AP1" t="s">
        <v>291</v>
      </c>
      <c r="AQ1" t="s">
        <v>293</v>
      </c>
    </row>
    <row r="2" spans="1:43">
      <c r="A2">
        <v>1</v>
      </c>
      <c r="B2" t="s">
        <v>26</v>
      </c>
      <c r="C2">
        <v>1</v>
      </c>
      <c r="D2" t="s">
        <v>27</v>
      </c>
      <c r="E2" t="s">
        <v>28</v>
      </c>
      <c r="F2" t="s">
        <v>29</v>
      </c>
      <c r="G2" t="s">
        <v>30</v>
      </c>
      <c r="H2" t="s">
        <v>31</v>
      </c>
      <c r="I2" t="s">
        <v>32</v>
      </c>
      <c r="J2" t="s">
        <v>33</v>
      </c>
      <c r="K2" t="s">
        <v>34</v>
      </c>
      <c r="L2" t="s">
        <v>35</v>
      </c>
      <c r="M2" t="s">
        <v>36</v>
      </c>
      <c r="N2" t="s">
        <v>37</v>
      </c>
      <c r="O2">
        <v>7.9</v>
      </c>
      <c r="P2">
        <v>126</v>
      </c>
      <c r="Q2" s="1">
        <v>186000000</v>
      </c>
      <c r="R2" s="1">
        <v>318604126</v>
      </c>
      <c r="S2" s="1">
        <v>266273701</v>
      </c>
      <c r="T2" s="1">
        <v>584877827</v>
      </c>
      <c r="U2" s="2">
        <f>R2-$Q2</f>
        <v>132604126</v>
      </c>
      <c r="V2" s="2">
        <f>S2-$Q2</f>
        <v>80273701</v>
      </c>
      <c r="W2" s="2">
        <f>T2-$Q2</f>
        <v>398877827</v>
      </c>
      <c r="X2" s="37">
        <f>U2/$Q2</f>
        <v>0.71292540860215059</v>
      </c>
      <c r="Y2" s="37">
        <f>V2/$Q2</f>
        <v>0.43157903763440858</v>
      </c>
      <c r="Z2" s="37">
        <f>W2/$Q2</f>
        <v>2.1445044462365592</v>
      </c>
      <c r="AA2">
        <f>Y2-X2</f>
        <v>-0.28134637096774201</v>
      </c>
      <c r="AB2">
        <v>3.18</v>
      </c>
      <c r="AD2">
        <v>-1.04</v>
      </c>
      <c r="AF2" t="s">
        <v>154</v>
      </c>
      <c r="AG2" s="7">
        <v>-0.32981024999999997</v>
      </c>
      <c r="AK2" t="s">
        <v>26</v>
      </c>
      <c r="AL2">
        <v>0.71292540860215059</v>
      </c>
      <c r="AM2">
        <v>0.43157903763440858</v>
      </c>
      <c r="AN2">
        <v>2008</v>
      </c>
      <c r="AO2">
        <v>2.9</v>
      </c>
      <c r="AP2">
        <v>0</v>
      </c>
    </row>
    <row r="3" spans="1:43">
      <c r="A3">
        <v>2</v>
      </c>
      <c r="B3" t="s">
        <v>38</v>
      </c>
      <c r="C3">
        <v>1</v>
      </c>
      <c r="D3" t="s">
        <v>27</v>
      </c>
      <c r="E3" t="s">
        <v>39</v>
      </c>
      <c r="F3" t="s">
        <v>40</v>
      </c>
      <c r="G3" t="s">
        <v>41</v>
      </c>
      <c r="H3" t="s">
        <v>42</v>
      </c>
      <c r="I3" t="s">
        <v>43</v>
      </c>
      <c r="J3" t="s">
        <v>44</v>
      </c>
      <c r="K3" t="s">
        <v>45</v>
      </c>
      <c r="L3" t="s">
        <v>46</v>
      </c>
      <c r="M3" t="s">
        <v>36</v>
      </c>
      <c r="N3" t="s">
        <v>37</v>
      </c>
      <c r="O3">
        <v>6.7</v>
      </c>
      <c r="P3">
        <v>112</v>
      </c>
      <c r="Q3" s="1">
        <v>137500000</v>
      </c>
      <c r="R3" s="1">
        <v>134806913</v>
      </c>
      <c r="S3" s="1">
        <v>130766946</v>
      </c>
      <c r="T3" s="1">
        <v>265573859</v>
      </c>
      <c r="U3" s="2">
        <f t="shared" ref="U3:W37" si="0">R3-$Q3</f>
        <v>-2693087</v>
      </c>
      <c r="V3" s="2">
        <f t="shared" si="0"/>
        <v>-6733054</v>
      </c>
      <c r="W3" s="2">
        <f t="shared" si="0"/>
        <v>128073859</v>
      </c>
      <c r="X3" s="37">
        <f t="shared" ref="X3:Z37" si="1">U3/$Q3</f>
        <v>-1.9586087272727273E-2</v>
      </c>
      <c r="Y3" s="37">
        <f t="shared" si="1"/>
        <v>-4.8967665454545457E-2</v>
      </c>
      <c r="Z3" s="37">
        <f t="shared" si="1"/>
        <v>0.93144624727272729</v>
      </c>
      <c r="AA3">
        <f t="shared" ref="AA3:AA37" si="2">Y3-X3</f>
        <v>-2.9381578181818184E-2</v>
      </c>
      <c r="AB3">
        <v>0.75600000000000001</v>
      </c>
      <c r="AD3">
        <v>0.19</v>
      </c>
      <c r="AF3" t="s">
        <v>26</v>
      </c>
      <c r="AG3" s="7">
        <v>-0.28134637096774201</v>
      </c>
      <c r="AK3" t="s">
        <v>38</v>
      </c>
      <c r="AL3">
        <v>-1.9586087272727273E-2</v>
      </c>
      <c r="AM3">
        <v>-4.8967665454545457E-2</v>
      </c>
      <c r="AN3">
        <v>2008</v>
      </c>
      <c r="AO3">
        <v>2.9</v>
      </c>
      <c r="AP3">
        <v>0</v>
      </c>
    </row>
    <row r="4" spans="1:43">
      <c r="A4">
        <v>3</v>
      </c>
      <c r="B4" t="s">
        <v>47</v>
      </c>
      <c r="C4">
        <v>1</v>
      </c>
      <c r="D4" t="s">
        <v>27</v>
      </c>
      <c r="E4" t="s">
        <v>48</v>
      </c>
      <c r="F4" t="s">
        <v>29</v>
      </c>
      <c r="G4" t="s">
        <v>49</v>
      </c>
      <c r="H4" t="s">
        <v>50</v>
      </c>
      <c r="I4" t="s">
        <v>51</v>
      </c>
      <c r="J4" t="s">
        <v>52</v>
      </c>
      <c r="K4" t="s">
        <v>53</v>
      </c>
      <c r="L4" t="s">
        <v>54</v>
      </c>
      <c r="M4" t="s">
        <v>36</v>
      </c>
      <c r="N4" t="s">
        <v>37</v>
      </c>
      <c r="O4">
        <v>7</v>
      </c>
      <c r="P4">
        <v>124</v>
      </c>
      <c r="Q4" s="1">
        <v>170000000</v>
      </c>
      <c r="R4" s="1">
        <v>312433331</v>
      </c>
      <c r="S4" s="1">
        <v>308723058</v>
      </c>
      <c r="T4" s="1">
        <v>621156389</v>
      </c>
      <c r="U4" s="2">
        <f t="shared" si="0"/>
        <v>142433331</v>
      </c>
      <c r="V4" s="2">
        <f t="shared" si="0"/>
        <v>138723058</v>
      </c>
      <c r="W4" s="2">
        <f t="shared" si="0"/>
        <v>451156389</v>
      </c>
      <c r="X4" s="37">
        <f t="shared" si="1"/>
        <v>0.83784312352941182</v>
      </c>
      <c r="Y4" s="37">
        <f t="shared" si="1"/>
        <v>0.81601798823529414</v>
      </c>
      <c r="Z4" s="37">
        <f t="shared" si="1"/>
        <v>2.653861111764706</v>
      </c>
      <c r="AA4">
        <f t="shared" si="2"/>
        <v>-2.182513529411767E-2</v>
      </c>
      <c r="AB4">
        <v>2.12</v>
      </c>
      <c r="AD4">
        <v>0.08</v>
      </c>
      <c r="AF4" t="s">
        <v>224</v>
      </c>
      <c r="AG4" s="7">
        <v>-0.19379713600000004</v>
      </c>
      <c r="AK4" t="s">
        <v>47</v>
      </c>
      <c r="AL4">
        <v>0.83784312352941182</v>
      </c>
      <c r="AM4">
        <v>0.81601798823529414</v>
      </c>
      <c r="AN4">
        <v>2010</v>
      </c>
      <c r="AO4">
        <v>5.3</v>
      </c>
      <c r="AP4">
        <v>0</v>
      </c>
    </row>
    <row r="5" spans="1:43">
      <c r="A5">
        <v>4</v>
      </c>
      <c r="B5" t="s">
        <v>55</v>
      </c>
      <c r="C5">
        <v>1</v>
      </c>
      <c r="D5" t="s">
        <v>56</v>
      </c>
      <c r="E5" t="s">
        <v>57</v>
      </c>
      <c r="F5" t="s">
        <v>58</v>
      </c>
      <c r="G5" t="s">
        <v>59</v>
      </c>
      <c r="H5" t="s">
        <v>50</v>
      </c>
      <c r="I5" t="s">
        <v>60</v>
      </c>
      <c r="J5" t="s">
        <v>61</v>
      </c>
      <c r="K5" t="s">
        <v>62</v>
      </c>
      <c r="L5" t="s">
        <v>63</v>
      </c>
      <c r="M5" t="s">
        <v>36</v>
      </c>
      <c r="N5" t="s">
        <v>37</v>
      </c>
      <c r="O5">
        <v>7</v>
      </c>
      <c r="P5">
        <v>115</v>
      </c>
      <c r="Q5" s="1">
        <v>150000000</v>
      </c>
      <c r="R5" s="1">
        <v>181030624</v>
      </c>
      <c r="S5" s="1">
        <v>268295994</v>
      </c>
      <c r="T5" s="1">
        <v>449326618</v>
      </c>
      <c r="U5" s="2">
        <f t="shared" si="0"/>
        <v>31030624</v>
      </c>
      <c r="V5" s="2">
        <f t="shared" si="0"/>
        <v>118295994</v>
      </c>
      <c r="W5" s="2">
        <f t="shared" si="0"/>
        <v>299326618</v>
      </c>
      <c r="X5" s="37">
        <f t="shared" si="1"/>
        <v>0.20687082666666667</v>
      </c>
      <c r="Y5" s="37">
        <f t="shared" si="1"/>
        <v>0.78863996000000003</v>
      </c>
      <c r="Z5" s="37">
        <f t="shared" si="1"/>
        <v>1.9955107866666666</v>
      </c>
      <c r="AA5" s="3">
        <f t="shared" si="2"/>
        <v>0.58176913333333335</v>
      </c>
      <c r="AB5">
        <v>1.996</v>
      </c>
      <c r="AD5">
        <v>-0.15</v>
      </c>
      <c r="AF5" t="s">
        <v>195</v>
      </c>
      <c r="AG5" s="7">
        <v>-0.11241299999999999</v>
      </c>
      <c r="AK5" t="s">
        <v>55</v>
      </c>
      <c r="AL5">
        <v>0.20687082666666667</v>
      </c>
      <c r="AM5">
        <v>0.78863996000000003</v>
      </c>
      <c r="AN5">
        <v>2011</v>
      </c>
      <c r="AO5">
        <v>4.0999999999999996</v>
      </c>
      <c r="AP5">
        <v>0</v>
      </c>
    </row>
    <row r="6" spans="1:43">
      <c r="A6">
        <v>5</v>
      </c>
      <c r="B6" t="s">
        <v>64</v>
      </c>
      <c r="C6">
        <v>1</v>
      </c>
      <c r="D6" t="s">
        <v>27</v>
      </c>
      <c r="E6" t="s">
        <v>65</v>
      </c>
      <c r="F6" t="s">
        <v>66</v>
      </c>
      <c r="G6" t="s">
        <v>67</v>
      </c>
      <c r="H6" t="s">
        <v>50</v>
      </c>
      <c r="I6" t="s">
        <v>68</v>
      </c>
      <c r="J6" t="s">
        <v>69</v>
      </c>
      <c r="K6" t="s">
        <v>70</v>
      </c>
      <c r="L6" t="s">
        <v>71</v>
      </c>
      <c r="M6" t="s">
        <v>36</v>
      </c>
      <c r="N6" t="s">
        <v>37</v>
      </c>
      <c r="O6">
        <v>6.9</v>
      </c>
      <c r="P6">
        <v>124</v>
      </c>
      <c r="Q6" s="1">
        <v>140000000</v>
      </c>
      <c r="R6" s="1">
        <v>176654505</v>
      </c>
      <c r="S6" s="1">
        <v>193915271</v>
      </c>
      <c r="T6" s="1">
        <v>370569776</v>
      </c>
      <c r="U6" s="2">
        <f t="shared" si="0"/>
        <v>36654505</v>
      </c>
      <c r="V6" s="2">
        <f t="shared" si="0"/>
        <v>53915271</v>
      </c>
      <c r="W6" s="2">
        <f t="shared" si="0"/>
        <v>230569776</v>
      </c>
      <c r="X6" s="37">
        <f t="shared" si="1"/>
        <v>0.26181789285714285</v>
      </c>
      <c r="Y6" s="37">
        <f t="shared" si="1"/>
        <v>0.38510907857142856</v>
      </c>
      <c r="Z6" s="37">
        <f t="shared" si="1"/>
        <v>1.6469269714285715</v>
      </c>
      <c r="AA6">
        <f t="shared" si="2"/>
        <v>0.12329118571428571</v>
      </c>
      <c r="AB6">
        <v>1.647</v>
      </c>
      <c r="AD6">
        <v>-0.08</v>
      </c>
      <c r="AF6" t="s">
        <v>38</v>
      </c>
      <c r="AG6" s="7">
        <v>-2.9381578181818184E-2</v>
      </c>
      <c r="AK6" t="s">
        <v>64</v>
      </c>
      <c r="AL6">
        <v>0.26181789285714285</v>
      </c>
      <c r="AM6">
        <v>0.38510907857142856</v>
      </c>
      <c r="AN6">
        <v>2011</v>
      </c>
      <c r="AO6">
        <v>4.0999999999999996</v>
      </c>
      <c r="AP6">
        <v>0</v>
      </c>
    </row>
    <row r="7" spans="1:43" s="30" customFormat="1" ht="18" thickBot="1">
      <c r="A7" s="30">
        <v>6</v>
      </c>
      <c r="B7" s="30" t="s">
        <v>72</v>
      </c>
      <c r="C7" s="30">
        <v>1</v>
      </c>
      <c r="D7" s="30" t="s">
        <v>27</v>
      </c>
      <c r="E7" s="30" t="s">
        <v>73</v>
      </c>
      <c r="F7" s="30" t="s">
        <v>74</v>
      </c>
      <c r="G7" s="30" t="s">
        <v>74</v>
      </c>
      <c r="H7" s="30" t="s">
        <v>50</v>
      </c>
      <c r="I7" s="30" t="s">
        <v>75</v>
      </c>
      <c r="J7" s="30" t="s">
        <v>76</v>
      </c>
      <c r="K7" s="30" t="s">
        <v>77</v>
      </c>
      <c r="L7" s="30" t="s">
        <v>78</v>
      </c>
      <c r="M7" s="30" t="s">
        <v>36</v>
      </c>
      <c r="N7" s="30" t="s">
        <v>37</v>
      </c>
      <c r="O7" s="30">
        <v>8.1</v>
      </c>
      <c r="P7" s="30">
        <v>143</v>
      </c>
      <c r="Q7" s="31">
        <v>225000000</v>
      </c>
      <c r="R7" s="31">
        <v>623357910</v>
      </c>
      <c r="S7" s="31">
        <v>891742301</v>
      </c>
      <c r="T7" s="31">
        <v>1515100211</v>
      </c>
      <c r="U7" s="32">
        <f t="shared" si="0"/>
        <v>398357910</v>
      </c>
      <c r="V7" s="32">
        <f t="shared" si="0"/>
        <v>666742301</v>
      </c>
      <c r="W7" s="32">
        <f t="shared" si="0"/>
        <v>1290100211</v>
      </c>
      <c r="X7" s="38">
        <f t="shared" si="1"/>
        <v>1.7704796</v>
      </c>
      <c r="Y7" s="38">
        <f t="shared" si="1"/>
        <v>2.9632991155555555</v>
      </c>
      <c r="Z7" s="38">
        <f t="shared" si="1"/>
        <v>5.7337787155555553</v>
      </c>
      <c r="AA7" s="30">
        <f t="shared" si="2"/>
        <v>1.1928195155555554</v>
      </c>
      <c r="AB7" s="30">
        <v>5.907</v>
      </c>
      <c r="AD7" s="30">
        <v>-3.15</v>
      </c>
      <c r="AF7" s="30" t="s">
        <v>47</v>
      </c>
      <c r="AG7" s="33">
        <v>-2.182513529411767E-2</v>
      </c>
      <c r="AK7" s="30" t="s">
        <v>72</v>
      </c>
      <c r="AL7" s="30">
        <v>1.7704796</v>
      </c>
      <c r="AM7" s="30">
        <v>2.9632991155555555</v>
      </c>
      <c r="AN7" s="30">
        <v>2012</v>
      </c>
      <c r="AO7" s="30">
        <v>3.4</v>
      </c>
      <c r="AP7" s="30">
        <v>0</v>
      </c>
    </row>
    <row r="8" spans="1:43">
      <c r="A8">
        <v>7</v>
      </c>
      <c r="B8" t="s">
        <v>79</v>
      </c>
      <c r="C8">
        <v>2</v>
      </c>
      <c r="D8" t="s">
        <v>27</v>
      </c>
      <c r="E8" t="s">
        <v>80</v>
      </c>
      <c r="F8" t="s">
        <v>81</v>
      </c>
      <c r="G8" t="s">
        <v>82</v>
      </c>
      <c r="H8" t="s">
        <v>50</v>
      </c>
      <c r="I8" t="s">
        <v>83</v>
      </c>
      <c r="J8" t="s">
        <v>84</v>
      </c>
      <c r="K8" t="s">
        <v>62</v>
      </c>
      <c r="L8" t="s">
        <v>85</v>
      </c>
      <c r="M8" t="s">
        <v>36</v>
      </c>
      <c r="N8" t="s">
        <v>37</v>
      </c>
      <c r="O8">
        <v>7.2</v>
      </c>
      <c r="P8">
        <v>130</v>
      </c>
      <c r="Q8" s="1">
        <v>200000000</v>
      </c>
      <c r="R8" s="1">
        <v>408992272</v>
      </c>
      <c r="S8" s="1">
        <v>805638684</v>
      </c>
      <c r="T8" s="1">
        <v>1214630956</v>
      </c>
      <c r="U8" s="2">
        <f t="shared" si="0"/>
        <v>208992272</v>
      </c>
      <c r="V8" s="2">
        <f t="shared" si="0"/>
        <v>605638684</v>
      </c>
      <c r="W8" s="2">
        <f t="shared" si="0"/>
        <v>1014630956</v>
      </c>
      <c r="X8" s="37">
        <f t="shared" si="1"/>
        <v>1.0449613600000001</v>
      </c>
      <c r="Y8" s="37">
        <f t="shared" si="1"/>
        <v>3.02819342</v>
      </c>
      <c r="Z8" s="37">
        <f t="shared" si="1"/>
        <v>5.0731547800000003</v>
      </c>
      <c r="AA8">
        <f t="shared" si="2"/>
        <v>1.98323206</v>
      </c>
      <c r="AB8">
        <v>5.077</v>
      </c>
      <c r="AD8">
        <v>-2.41</v>
      </c>
      <c r="AF8" t="s">
        <v>260</v>
      </c>
      <c r="AG8" s="7">
        <v>1.509272777777778E-2</v>
      </c>
      <c r="AK8" t="s">
        <v>79</v>
      </c>
      <c r="AL8">
        <v>1.0449613600000001</v>
      </c>
      <c r="AM8">
        <v>3.02819342</v>
      </c>
      <c r="AN8">
        <v>2013</v>
      </c>
      <c r="AO8" s="44">
        <v>3.4</v>
      </c>
      <c r="AP8" s="44">
        <v>0</v>
      </c>
    </row>
    <row r="9" spans="1:43">
      <c r="A9">
        <v>8</v>
      </c>
      <c r="B9" t="s">
        <v>86</v>
      </c>
      <c r="C9">
        <v>2</v>
      </c>
      <c r="D9" t="s">
        <v>87</v>
      </c>
      <c r="E9" t="s">
        <v>88</v>
      </c>
      <c r="F9" t="s">
        <v>89</v>
      </c>
      <c r="G9" t="s">
        <v>90</v>
      </c>
      <c r="H9" t="s">
        <v>50</v>
      </c>
      <c r="I9" t="s">
        <v>91</v>
      </c>
      <c r="J9" t="s">
        <v>92</v>
      </c>
      <c r="K9" t="s">
        <v>62</v>
      </c>
      <c r="L9" t="s">
        <v>93</v>
      </c>
      <c r="M9" t="s">
        <v>36</v>
      </c>
      <c r="N9" t="s">
        <v>37</v>
      </c>
      <c r="O9">
        <v>6.9</v>
      </c>
      <c r="P9">
        <v>112</v>
      </c>
      <c r="Q9" s="1">
        <v>150000000</v>
      </c>
      <c r="R9" s="1">
        <v>206362140</v>
      </c>
      <c r="S9" s="1">
        <v>438240376</v>
      </c>
      <c r="T9" s="1">
        <v>644602516</v>
      </c>
      <c r="U9" s="2">
        <f t="shared" si="0"/>
        <v>56362140</v>
      </c>
      <c r="V9" s="2">
        <f t="shared" si="0"/>
        <v>288240376</v>
      </c>
      <c r="W9" s="2">
        <f t="shared" si="0"/>
        <v>494602516</v>
      </c>
      <c r="X9" s="37">
        <f t="shared" si="1"/>
        <v>0.37574760000000001</v>
      </c>
      <c r="Y9" s="37">
        <f t="shared" si="1"/>
        <v>1.9216025066666667</v>
      </c>
      <c r="Z9" s="37">
        <f t="shared" si="1"/>
        <v>3.2973501066666668</v>
      </c>
      <c r="AA9" s="3">
        <f t="shared" si="2"/>
        <v>1.5458549066666667</v>
      </c>
      <c r="AB9">
        <v>2.7930000000000001</v>
      </c>
      <c r="AD9">
        <v>-0.56000000000000005</v>
      </c>
      <c r="AF9" t="s">
        <v>189</v>
      </c>
      <c r="AG9" s="7">
        <v>6.2239105000000003E-2</v>
      </c>
      <c r="AK9" t="s">
        <v>86</v>
      </c>
      <c r="AL9">
        <v>0.37574760000000001</v>
      </c>
      <c r="AM9">
        <v>1.9216025066666667</v>
      </c>
      <c r="AN9">
        <v>2013</v>
      </c>
      <c r="AO9" s="44">
        <v>3.4</v>
      </c>
      <c r="AP9" s="44">
        <v>0</v>
      </c>
    </row>
    <row r="10" spans="1:43">
      <c r="A10">
        <v>9</v>
      </c>
      <c r="B10" t="s">
        <v>94</v>
      </c>
      <c r="C10">
        <v>2</v>
      </c>
      <c r="D10" t="s">
        <v>95</v>
      </c>
      <c r="E10" t="s">
        <v>96</v>
      </c>
      <c r="F10" t="s">
        <v>97</v>
      </c>
      <c r="G10" t="s">
        <v>67</v>
      </c>
      <c r="H10" t="s">
        <v>50</v>
      </c>
      <c r="I10" t="s">
        <v>98</v>
      </c>
      <c r="J10" t="s">
        <v>99</v>
      </c>
      <c r="K10" t="s">
        <v>100</v>
      </c>
      <c r="L10" t="s">
        <v>101</v>
      </c>
      <c r="M10" t="s">
        <v>36</v>
      </c>
      <c r="N10" t="s">
        <v>37</v>
      </c>
      <c r="O10">
        <v>7.8</v>
      </c>
      <c r="P10">
        <v>136</v>
      </c>
      <c r="Q10" s="1">
        <v>170000000</v>
      </c>
      <c r="R10" s="1">
        <v>259746958</v>
      </c>
      <c r="S10" s="1">
        <v>454654931</v>
      </c>
      <c r="T10" s="1">
        <v>714401889</v>
      </c>
      <c r="U10" s="2">
        <f t="shared" si="0"/>
        <v>89746958</v>
      </c>
      <c r="V10" s="2">
        <f t="shared" si="0"/>
        <v>284654931</v>
      </c>
      <c r="W10" s="2">
        <f t="shared" si="0"/>
        <v>544401889</v>
      </c>
      <c r="X10" s="37">
        <f t="shared" si="1"/>
        <v>0.52792328235294117</v>
      </c>
      <c r="Y10" s="37">
        <f t="shared" si="1"/>
        <v>1.6744407705882354</v>
      </c>
      <c r="Z10" s="37">
        <f t="shared" si="1"/>
        <v>3.2023640529411765</v>
      </c>
      <c r="AA10">
        <f t="shared" si="2"/>
        <v>1.1465174882352942</v>
      </c>
      <c r="AB10">
        <v>3.2050000000000001</v>
      </c>
      <c r="AD10">
        <v>-0.88</v>
      </c>
      <c r="AF10" t="s">
        <v>252</v>
      </c>
      <c r="AG10" s="7">
        <v>7.0222327777777788E-2</v>
      </c>
      <c r="AK10" t="s">
        <v>94</v>
      </c>
      <c r="AL10">
        <v>0.52792328235294117</v>
      </c>
      <c r="AM10">
        <v>1.6744407705882354</v>
      </c>
      <c r="AN10">
        <v>2014</v>
      </c>
      <c r="AO10" s="44">
        <v>3.6</v>
      </c>
      <c r="AP10" s="44">
        <v>0</v>
      </c>
    </row>
    <row r="11" spans="1:43">
      <c r="A11">
        <v>10</v>
      </c>
      <c r="B11" t="s">
        <v>102</v>
      </c>
      <c r="C11">
        <v>2</v>
      </c>
      <c r="D11" t="s">
        <v>103</v>
      </c>
      <c r="E11" t="s">
        <v>104</v>
      </c>
      <c r="F11" t="s">
        <v>105</v>
      </c>
      <c r="G11" t="s">
        <v>106</v>
      </c>
      <c r="H11" t="s">
        <v>50</v>
      </c>
      <c r="I11" t="s">
        <v>107</v>
      </c>
      <c r="J11" t="s">
        <v>108</v>
      </c>
      <c r="K11" t="s">
        <v>62</v>
      </c>
      <c r="L11" t="s">
        <v>93</v>
      </c>
      <c r="M11" t="s">
        <v>36</v>
      </c>
      <c r="N11" t="s">
        <v>37</v>
      </c>
      <c r="O11">
        <v>8.1</v>
      </c>
      <c r="P11">
        <v>121</v>
      </c>
      <c r="Q11" s="1">
        <v>170000000</v>
      </c>
      <c r="R11" s="1">
        <v>333714112</v>
      </c>
      <c r="S11" s="1">
        <v>437168283</v>
      </c>
      <c r="T11" s="1">
        <v>770882395</v>
      </c>
      <c r="U11" s="2">
        <f t="shared" si="0"/>
        <v>163714112</v>
      </c>
      <c r="V11" s="2">
        <f t="shared" si="0"/>
        <v>267168283</v>
      </c>
      <c r="W11" s="2">
        <f t="shared" si="0"/>
        <v>600882395</v>
      </c>
      <c r="X11" s="37">
        <f t="shared" si="1"/>
        <v>0.96302418823529412</v>
      </c>
      <c r="Y11" s="37">
        <f t="shared" si="1"/>
        <v>1.5715781352941176</v>
      </c>
      <c r="Z11" s="37">
        <f t="shared" si="1"/>
        <v>3.5346023235294117</v>
      </c>
      <c r="AA11">
        <f t="shared" si="2"/>
        <v>0.60855394705882349</v>
      </c>
      <c r="AB11">
        <v>3.5539999999999998</v>
      </c>
      <c r="AD11">
        <v>-1.17</v>
      </c>
      <c r="AF11" t="s">
        <v>239</v>
      </c>
      <c r="AG11" s="7">
        <v>0.11372519999999997</v>
      </c>
      <c r="AK11" t="s">
        <v>102</v>
      </c>
      <c r="AL11">
        <v>0.96302418823529412</v>
      </c>
      <c r="AM11">
        <v>1.5715781352941176</v>
      </c>
      <c r="AN11">
        <v>2014</v>
      </c>
      <c r="AO11" s="44">
        <v>3.6</v>
      </c>
      <c r="AP11" s="44">
        <v>0</v>
      </c>
    </row>
    <row r="12" spans="1:43">
      <c r="A12">
        <v>11</v>
      </c>
      <c r="B12" t="s">
        <v>109</v>
      </c>
      <c r="C12">
        <v>2</v>
      </c>
      <c r="D12" t="s">
        <v>27</v>
      </c>
      <c r="E12" t="s">
        <v>110</v>
      </c>
      <c r="F12" t="s">
        <v>74</v>
      </c>
      <c r="G12" t="s">
        <v>74</v>
      </c>
      <c r="H12" t="s">
        <v>50</v>
      </c>
      <c r="I12" t="s">
        <v>111</v>
      </c>
      <c r="J12" t="s">
        <v>112</v>
      </c>
      <c r="K12" t="s">
        <v>113</v>
      </c>
      <c r="L12" t="s">
        <v>93</v>
      </c>
      <c r="M12" t="s">
        <v>36</v>
      </c>
      <c r="N12" t="s">
        <v>37</v>
      </c>
      <c r="O12">
        <v>7.3</v>
      </c>
      <c r="P12">
        <v>141</v>
      </c>
      <c r="Q12" s="1">
        <v>365000000</v>
      </c>
      <c r="R12" s="1">
        <v>459005868</v>
      </c>
      <c r="S12" s="1">
        <v>936311111</v>
      </c>
      <c r="T12" s="1">
        <v>1395316979</v>
      </c>
      <c r="U12" s="2">
        <f t="shared" si="0"/>
        <v>94005868</v>
      </c>
      <c r="V12" s="2">
        <f t="shared" si="0"/>
        <v>571311111</v>
      </c>
      <c r="W12" s="2">
        <f t="shared" si="0"/>
        <v>1030316979</v>
      </c>
      <c r="X12" s="37">
        <f t="shared" si="1"/>
        <v>0.25755032328767125</v>
      </c>
      <c r="Y12" s="37">
        <f t="shared" si="1"/>
        <v>1.5652359205479451</v>
      </c>
      <c r="Z12" s="37">
        <f t="shared" si="1"/>
        <v>2.8227862438356164</v>
      </c>
      <c r="AA12">
        <f t="shared" si="2"/>
        <v>1.3076855972602739</v>
      </c>
      <c r="AB12">
        <v>4.6219999999999999</v>
      </c>
      <c r="AD12">
        <v>-1.9</v>
      </c>
      <c r="AF12" t="s">
        <v>64</v>
      </c>
      <c r="AG12" s="7">
        <v>0.12329118571428571</v>
      </c>
      <c r="AK12" t="s">
        <v>109</v>
      </c>
      <c r="AL12">
        <v>0.25755032328767125</v>
      </c>
      <c r="AM12">
        <v>1.5652359205479451</v>
      </c>
      <c r="AN12">
        <v>2015</v>
      </c>
      <c r="AO12" s="44">
        <v>3.4</v>
      </c>
      <c r="AP12" s="44">
        <v>0</v>
      </c>
    </row>
    <row r="13" spans="1:43" s="30" customFormat="1" ht="18" thickBot="1">
      <c r="A13" s="30">
        <v>12</v>
      </c>
      <c r="B13" s="30" t="s">
        <v>114</v>
      </c>
      <c r="C13" s="30">
        <v>2</v>
      </c>
      <c r="D13" s="30" t="s">
        <v>103</v>
      </c>
      <c r="E13" s="30" t="s">
        <v>115</v>
      </c>
      <c r="F13" s="30" t="s">
        <v>116</v>
      </c>
      <c r="G13" s="30" t="s">
        <v>117</v>
      </c>
      <c r="H13" s="30" t="s">
        <v>50</v>
      </c>
      <c r="I13" s="30" t="s">
        <v>118</v>
      </c>
      <c r="J13" s="30" t="s">
        <v>119</v>
      </c>
      <c r="K13" s="30" t="s">
        <v>62</v>
      </c>
      <c r="L13" s="30" t="s">
        <v>120</v>
      </c>
      <c r="M13" s="30" t="s">
        <v>36</v>
      </c>
      <c r="N13" s="30" t="s">
        <v>37</v>
      </c>
      <c r="O13" s="30">
        <v>7.3</v>
      </c>
      <c r="P13" s="30">
        <v>117</v>
      </c>
      <c r="Q13" s="31">
        <v>130000000</v>
      </c>
      <c r="R13" s="31">
        <v>180202163</v>
      </c>
      <c r="S13" s="31">
        <v>338656286</v>
      </c>
      <c r="T13" s="31">
        <v>518858449</v>
      </c>
      <c r="U13" s="32">
        <f t="shared" si="0"/>
        <v>50202163</v>
      </c>
      <c r="V13" s="32">
        <f t="shared" si="0"/>
        <v>208656286</v>
      </c>
      <c r="W13" s="32">
        <f t="shared" si="0"/>
        <v>388858449</v>
      </c>
      <c r="X13" s="38">
        <f t="shared" si="1"/>
        <v>0.38617048461538461</v>
      </c>
      <c r="Y13" s="38">
        <f t="shared" si="1"/>
        <v>1.6050483538461537</v>
      </c>
      <c r="Z13" s="38">
        <f t="shared" si="1"/>
        <v>2.9912188384615384</v>
      </c>
      <c r="AA13" s="34">
        <f t="shared" si="2"/>
        <v>1.2188778692307691</v>
      </c>
      <c r="AB13" s="30">
        <v>2.996</v>
      </c>
      <c r="AD13" s="30">
        <v>-0.98</v>
      </c>
      <c r="AF13" s="30" t="s">
        <v>229</v>
      </c>
      <c r="AG13" s="33">
        <v>0.23529680999999997</v>
      </c>
      <c r="AK13" s="30" t="s">
        <v>114</v>
      </c>
      <c r="AL13" s="30">
        <v>0.38617048461538461</v>
      </c>
      <c r="AM13" s="30">
        <v>1.6050483538461537</v>
      </c>
      <c r="AN13" s="30">
        <v>2015</v>
      </c>
      <c r="AO13" s="30">
        <v>3.4</v>
      </c>
      <c r="AP13" s="30">
        <v>0</v>
      </c>
    </row>
    <row r="14" spans="1:43">
      <c r="A14">
        <v>13</v>
      </c>
      <c r="B14" t="s">
        <v>121</v>
      </c>
      <c r="C14">
        <v>3</v>
      </c>
      <c r="D14" t="s">
        <v>27</v>
      </c>
      <c r="E14" t="s">
        <v>122</v>
      </c>
      <c r="F14" t="s">
        <v>97</v>
      </c>
      <c r="G14" t="s">
        <v>67</v>
      </c>
      <c r="H14" t="s">
        <v>50</v>
      </c>
      <c r="I14" t="s">
        <v>123</v>
      </c>
      <c r="J14" t="s">
        <v>124</v>
      </c>
      <c r="K14" t="s">
        <v>125</v>
      </c>
      <c r="L14" t="s">
        <v>126</v>
      </c>
      <c r="M14" t="s">
        <v>36</v>
      </c>
      <c r="N14" t="s">
        <v>37</v>
      </c>
      <c r="O14">
        <v>7.8</v>
      </c>
      <c r="P14">
        <v>147</v>
      </c>
      <c r="Q14" s="1">
        <v>250000000</v>
      </c>
      <c r="R14" s="1">
        <v>408084349</v>
      </c>
      <c r="S14" s="1">
        <v>743815237</v>
      </c>
      <c r="T14" s="1">
        <v>1151899586</v>
      </c>
      <c r="U14" s="2">
        <f t="shared" si="0"/>
        <v>158084349</v>
      </c>
      <c r="V14" s="2">
        <f t="shared" si="0"/>
        <v>493815237</v>
      </c>
      <c r="W14" s="2">
        <f t="shared" si="0"/>
        <v>901899586</v>
      </c>
      <c r="X14" s="37">
        <f t="shared" si="1"/>
        <v>0.63233739600000005</v>
      </c>
      <c r="Y14" s="37">
        <f t="shared" si="1"/>
        <v>1.9752609480000001</v>
      </c>
      <c r="Z14" s="37">
        <f t="shared" si="1"/>
        <v>3.6075983439999999</v>
      </c>
      <c r="AA14">
        <f t="shared" si="2"/>
        <v>1.342923552</v>
      </c>
      <c r="AB14">
        <v>3.613</v>
      </c>
      <c r="AD14">
        <v>-0.98</v>
      </c>
      <c r="AF14" t="s">
        <v>219</v>
      </c>
      <c r="AG14" s="7">
        <v>0.29765768399999998</v>
      </c>
      <c r="AK14" t="s">
        <v>121</v>
      </c>
      <c r="AL14">
        <v>0.63233739600000005</v>
      </c>
      <c r="AM14">
        <v>1.9752609480000001</v>
      </c>
      <c r="AN14" s="44">
        <v>2016</v>
      </c>
      <c r="AO14" s="44">
        <v>3.2</v>
      </c>
      <c r="AP14" s="44">
        <v>0</v>
      </c>
    </row>
    <row r="15" spans="1:43">
      <c r="A15">
        <v>14</v>
      </c>
      <c r="B15" t="s">
        <v>127</v>
      </c>
      <c r="C15">
        <v>3</v>
      </c>
      <c r="D15" t="s">
        <v>56</v>
      </c>
      <c r="E15" t="s">
        <v>128</v>
      </c>
      <c r="F15" t="s">
        <v>129</v>
      </c>
      <c r="G15" t="s">
        <v>130</v>
      </c>
      <c r="H15" t="s">
        <v>50</v>
      </c>
      <c r="I15" t="s">
        <v>131</v>
      </c>
      <c r="J15" t="s">
        <v>132</v>
      </c>
      <c r="K15" t="s">
        <v>62</v>
      </c>
      <c r="L15" t="s">
        <v>133</v>
      </c>
      <c r="M15" t="s">
        <v>36</v>
      </c>
      <c r="N15" t="s">
        <v>37</v>
      </c>
      <c r="O15">
        <v>7.5</v>
      </c>
      <c r="P15">
        <v>115</v>
      </c>
      <c r="Q15" s="1">
        <v>165000000</v>
      </c>
      <c r="R15" s="1">
        <v>232641920</v>
      </c>
      <c r="S15" s="1">
        <v>443701254</v>
      </c>
      <c r="T15" s="1">
        <v>676343174</v>
      </c>
      <c r="U15" s="2">
        <f t="shared" si="0"/>
        <v>67641920</v>
      </c>
      <c r="V15" s="2">
        <f t="shared" si="0"/>
        <v>278701254</v>
      </c>
      <c r="W15" s="2">
        <f t="shared" si="0"/>
        <v>511343174</v>
      </c>
      <c r="X15" s="37">
        <f t="shared" si="1"/>
        <v>0.40995103030303032</v>
      </c>
      <c r="Y15" s="37">
        <f t="shared" si="1"/>
        <v>1.6890985090909092</v>
      </c>
      <c r="Z15" s="37">
        <f t="shared" si="1"/>
        <v>3.0990495393939392</v>
      </c>
      <c r="AA15" s="3">
        <f t="shared" si="2"/>
        <v>1.2791474787878789</v>
      </c>
      <c r="AB15">
        <v>3.1070000000000002</v>
      </c>
      <c r="AD15">
        <v>-0.83</v>
      </c>
      <c r="AF15" t="s">
        <v>243</v>
      </c>
      <c r="AG15" s="7">
        <v>0.32289815999999982</v>
      </c>
      <c r="AK15" t="s">
        <v>127</v>
      </c>
      <c r="AL15">
        <v>0.40995103030303032</v>
      </c>
      <c r="AM15">
        <v>1.6890985090909092</v>
      </c>
      <c r="AN15" s="44">
        <v>2016</v>
      </c>
      <c r="AO15" s="44">
        <v>3.2</v>
      </c>
      <c r="AP15" s="44">
        <v>0</v>
      </c>
    </row>
    <row r="16" spans="1:43">
      <c r="A16">
        <v>15</v>
      </c>
      <c r="B16" t="s">
        <v>134</v>
      </c>
      <c r="C16">
        <v>3</v>
      </c>
      <c r="D16" t="s">
        <v>103</v>
      </c>
      <c r="E16" t="s">
        <v>135</v>
      </c>
      <c r="F16" t="s">
        <v>105</v>
      </c>
      <c r="G16" t="s">
        <v>105</v>
      </c>
      <c r="H16" t="s">
        <v>50</v>
      </c>
      <c r="I16" t="s">
        <v>136</v>
      </c>
      <c r="J16" t="s">
        <v>137</v>
      </c>
      <c r="K16" t="s">
        <v>62</v>
      </c>
      <c r="L16" t="s">
        <v>126</v>
      </c>
      <c r="M16" t="s">
        <v>36</v>
      </c>
      <c r="N16" t="s">
        <v>37</v>
      </c>
      <c r="O16">
        <v>7.7</v>
      </c>
      <c r="P16">
        <v>136</v>
      </c>
      <c r="Q16" s="1">
        <v>200000000</v>
      </c>
      <c r="R16" s="1">
        <v>389813101</v>
      </c>
      <c r="S16" s="1">
        <v>479274862</v>
      </c>
      <c r="T16" s="1">
        <v>869087963</v>
      </c>
      <c r="U16" s="2">
        <f t="shared" si="0"/>
        <v>189813101</v>
      </c>
      <c r="V16" s="2">
        <f t="shared" si="0"/>
        <v>279274862</v>
      </c>
      <c r="W16" s="2">
        <f t="shared" si="0"/>
        <v>669087963</v>
      </c>
      <c r="X16" s="37">
        <f t="shared" si="1"/>
        <v>0.94906550499999998</v>
      </c>
      <c r="Y16" s="37">
        <f t="shared" si="1"/>
        <v>1.3963743099999999</v>
      </c>
      <c r="Z16" s="37">
        <f t="shared" si="1"/>
        <v>3.3454398150000002</v>
      </c>
      <c r="AA16">
        <f t="shared" si="2"/>
        <v>0.44730880499999992</v>
      </c>
      <c r="AB16">
        <v>3.319</v>
      </c>
      <c r="AD16">
        <v>-0.85</v>
      </c>
      <c r="AF16" t="s">
        <v>201</v>
      </c>
      <c r="AG16" s="7">
        <v>0.359956155</v>
      </c>
      <c r="AK16" t="s">
        <v>134</v>
      </c>
      <c r="AL16">
        <v>0.94906550499999998</v>
      </c>
      <c r="AM16">
        <v>1.3963743099999999</v>
      </c>
      <c r="AN16" s="44">
        <v>2017</v>
      </c>
      <c r="AO16" s="44">
        <v>3.8</v>
      </c>
      <c r="AP16" s="44">
        <v>0</v>
      </c>
    </row>
    <row r="17" spans="1:42">
      <c r="A17">
        <v>16</v>
      </c>
      <c r="B17" t="s">
        <v>138</v>
      </c>
      <c r="C17">
        <v>3</v>
      </c>
      <c r="D17" t="s">
        <v>27</v>
      </c>
      <c r="E17" t="s">
        <v>139</v>
      </c>
      <c r="F17" t="s">
        <v>140</v>
      </c>
      <c r="G17" t="s">
        <v>141</v>
      </c>
      <c r="H17" t="s">
        <v>142</v>
      </c>
      <c r="I17" t="s">
        <v>143</v>
      </c>
      <c r="J17" t="s">
        <v>144</v>
      </c>
      <c r="K17" t="s">
        <v>145</v>
      </c>
      <c r="L17" t="s">
        <v>126</v>
      </c>
      <c r="M17" t="s">
        <v>36</v>
      </c>
      <c r="N17" t="s">
        <v>37</v>
      </c>
      <c r="O17">
        <v>7.5</v>
      </c>
      <c r="P17">
        <v>133</v>
      </c>
      <c r="Q17" s="1">
        <v>175000000</v>
      </c>
      <c r="R17" s="1">
        <v>334580976</v>
      </c>
      <c r="S17" s="1">
        <v>544271773</v>
      </c>
      <c r="T17" s="1">
        <v>878852749</v>
      </c>
      <c r="U17" s="2">
        <f t="shared" si="0"/>
        <v>159580976</v>
      </c>
      <c r="V17" s="2">
        <f t="shared" si="0"/>
        <v>369271773</v>
      </c>
      <c r="W17" s="2">
        <f t="shared" si="0"/>
        <v>703852749</v>
      </c>
      <c r="X17" s="37">
        <f t="shared" si="1"/>
        <v>0.91189129142857139</v>
      </c>
      <c r="Y17" s="37">
        <f t="shared" si="1"/>
        <v>2.110124417142857</v>
      </c>
      <c r="Z17" s="37">
        <f t="shared" si="1"/>
        <v>4.0220157085714288</v>
      </c>
      <c r="AA17">
        <f t="shared" si="2"/>
        <v>1.1982331257142858</v>
      </c>
      <c r="AB17">
        <v>4.03</v>
      </c>
      <c r="AD17">
        <v>-1.55</v>
      </c>
      <c r="AF17" t="s">
        <v>134</v>
      </c>
      <c r="AG17" s="7">
        <v>0.44730880499999992</v>
      </c>
      <c r="AK17" t="s">
        <v>138</v>
      </c>
      <c r="AL17">
        <v>0.91189129142857139</v>
      </c>
      <c r="AM17">
        <v>2.110124417142857</v>
      </c>
      <c r="AN17" s="44">
        <v>2017</v>
      </c>
      <c r="AO17" s="44">
        <v>3.8</v>
      </c>
      <c r="AP17" s="44">
        <v>0</v>
      </c>
    </row>
    <row r="18" spans="1:42">
      <c r="A18">
        <v>17</v>
      </c>
      <c r="B18" t="s">
        <v>146</v>
      </c>
      <c r="C18">
        <v>3</v>
      </c>
      <c r="D18" t="s">
        <v>147</v>
      </c>
      <c r="E18" t="s">
        <v>148</v>
      </c>
      <c r="F18" t="s">
        <v>149</v>
      </c>
      <c r="G18" t="s">
        <v>150</v>
      </c>
      <c r="H18" t="s">
        <v>50</v>
      </c>
      <c r="I18" t="s">
        <v>151</v>
      </c>
      <c r="J18" t="s">
        <v>152</v>
      </c>
      <c r="K18" t="s">
        <v>62</v>
      </c>
      <c r="L18" t="s">
        <v>153</v>
      </c>
      <c r="M18" t="s">
        <v>36</v>
      </c>
      <c r="N18" t="s">
        <v>37</v>
      </c>
      <c r="O18">
        <v>7.9</v>
      </c>
      <c r="P18">
        <v>130</v>
      </c>
      <c r="Q18" s="1">
        <v>180000000</v>
      </c>
      <c r="R18" s="1">
        <v>315058289</v>
      </c>
      <c r="S18" s="1">
        <v>535424489</v>
      </c>
      <c r="T18" s="1">
        <v>850482778</v>
      </c>
      <c r="U18" s="2">
        <f t="shared" si="0"/>
        <v>135058289</v>
      </c>
      <c r="V18" s="2">
        <f t="shared" si="0"/>
        <v>355424489</v>
      </c>
      <c r="W18" s="2">
        <f t="shared" si="0"/>
        <v>670482778</v>
      </c>
      <c r="X18" s="37">
        <f t="shared" si="1"/>
        <v>0.75032382777777773</v>
      </c>
      <c r="Y18" s="37">
        <f t="shared" si="1"/>
        <v>1.9745804944444445</v>
      </c>
      <c r="Z18" s="37">
        <f t="shared" si="1"/>
        <v>3.7249043222222222</v>
      </c>
      <c r="AA18">
        <f t="shared" si="2"/>
        <v>1.2242566666666668</v>
      </c>
      <c r="AB18">
        <v>3.7440000000000002</v>
      </c>
      <c r="AD18">
        <v>-1.29</v>
      </c>
      <c r="AF18" t="s">
        <v>234</v>
      </c>
      <c r="AG18" s="7">
        <v>0.51025658800000007</v>
      </c>
      <c r="AK18" t="s">
        <v>146</v>
      </c>
      <c r="AL18">
        <v>0.75032382777777773</v>
      </c>
      <c r="AM18">
        <v>1.9745804944444445</v>
      </c>
      <c r="AN18" s="44">
        <v>2017</v>
      </c>
      <c r="AO18" s="44">
        <v>3.8</v>
      </c>
      <c r="AP18" s="44">
        <v>0</v>
      </c>
    </row>
    <row r="19" spans="1:42">
      <c r="A19">
        <v>18</v>
      </c>
      <c r="B19" t="s">
        <v>154</v>
      </c>
      <c r="C19">
        <v>3</v>
      </c>
      <c r="D19" t="s">
        <v>27</v>
      </c>
      <c r="E19" t="s">
        <v>155</v>
      </c>
      <c r="F19" t="s">
        <v>156</v>
      </c>
      <c r="G19" t="s">
        <v>157</v>
      </c>
      <c r="H19" t="s">
        <v>50</v>
      </c>
      <c r="I19" t="s">
        <v>158</v>
      </c>
      <c r="J19" t="s">
        <v>159</v>
      </c>
      <c r="K19" t="s">
        <v>160</v>
      </c>
      <c r="L19" t="s">
        <v>120</v>
      </c>
      <c r="M19" t="s">
        <v>36</v>
      </c>
      <c r="N19" t="s">
        <v>37</v>
      </c>
      <c r="O19">
        <v>7.3</v>
      </c>
      <c r="P19">
        <v>134</v>
      </c>
      <c r="Q19" s="1">
        <v>200000000</v>
      </c>
      <c r="R19" s="1">
        <v>700059566</v>
      </c>
      <c r="S19" s="1">
        <v>634097516</v>
      </c>
      <c r="T19" s="1">
        <v>1334157082</v>
      </c>
      <c r="U19" s="2">
        <f t="shared" si="0"/>
        <v>500059566</v>
      </c>
      <c r="V19" s="2">
        <f t="shared" si="0"/>
        <v>434097516</v>
      </c>
      <c r="W19" s="2">
        <f t="shared" si="0"/>
        <v>1134157082</v>
      </c>
      <c r="X19" s="37">
        <f t="shared" si="1"/>
        <v>2.5002978300000001</v>
      </c>
      <c r="Y19" s="37">
        <f t="shared" si="1"/>
        <v>2.1704875800000001</v>
      </c>
      <c r="Z19" s="37">
        <f t="shared" si="1"/>
        <v>5.6707854099999997</v>
      </c>
      <c r="AA19">
        <f t="shared" si="2"/>
        <v>-0.32981024999999997</v>
      </c>
      <c r="AB19">
        <v>5.7350000000000003</v>
      </c>
      <c r="AD19">
        <v>-3.03</v>
      </c>
      <c r="AF19" t="s">
        <v>55</v>
      </c>
      <c r="AG19" s="7">
        <v>0.58176913333333335</v>
      </c>
      <c r="AK19" t="s">
        <v>154</v>
      </c>
      <c r="AL19">
        <v>2.5002978300000001</v>
      </c>
      <c r="AM19">
        <v>2.1704875800000001</v>
      </c>
      <c r="AN19" s="44">
        <v>2018</v>
      </c>
      <c r="AO19" s="44">
        <v>3.6</v>
      </c>
      <c r="AP19" s="44">
        <v>0</v>
      </c>
    </row>
    <row r="20" spans="1:42">
      <c r="A20">
        <v>19</v>
      </c>
      <c r="B20" t="s">
        <v>161</v>
      </c>
      <c r="C20">
        <v>3</v>
      </c>
      <c r="D20" t="s">
        <v>27</v>
      </c>
      <c r="E20" t="s">
        <v>162</v>
      </c>
      <c r="F20" t="s">
        <v>97</v>
      </c>
      <c r="G20" t="s">
        <v>67</v>
      </c>
      <c r="H20" t="s">
        <v>50</v>
      </c>
      <c r="I20" t="s">
        <v>163</v>
      </c>
      <c r="J20" t="s">
        <v>164</v>
      </c>
      <c r="K20" t="s">
        <v>62</v>
      </c>
      <c r="L20" t="s">
        <v>120</v>
      </c>
      <c r="M20" t="s">
        <v>36</v>
      </c>
      <c r="N20" t="s">
        <v>37</v>
      </c>
      <c r="O20">
        <v>8.5</v>
      </c>
      <c r="P20">
        <v>149</v>
      </c>
      <c r="Q20" s="1">
        <v>300000000</v>
      </c>
      <c r="R20" s="1">
        <v>678815482</v>
      </c>
      <c r="S20" s="1">
        <v>1369544272</v>
      </c>
      <c r="T20" s="1">
        <v>2048359754</v>
      </c>
      <c r="U20" s="2">
        <f t="shared" si="0"/>
        <v>378815482</v>
      </c>
      <c r="V20" s="2">
        <f t="shared" si="0"/>
        <v>1069544272</v>
      </c>
      <c r="W20" s="2">
        <f t="shared" si="0"/>
        <v>1748359754</v>
      </c>
      <c r="X20" s="37">
        <f t="shared" si="1"/>
        <v>1.2627182733333333</v>
      </c>
      <c r="Y20" s="37">
        <f t="shared" si="1"/>
        <v>3.5651475733333333</v>
      </c>
      <c r="Z20" s="37">
        <f t="shared" si="1"/>
        <v>5.8278658466666666</v>
      </c>
      <c r="AA20">
        <f t="shared" si="2"/>
        <v>2.3024293</v>
      </c>
      <c r="AB20">
        <v>5.3819999999999997</v>
      </c>
      <c r="AD20">
        <v>-2.52</v>
      </c>
      <c r="AF20" t="s">
        <v>102</v>
      </c>
      <c r="AG20" s="7">
        <v>0.60855394705882349</v>
      </c>
      <c r="AK20" t="s">
        <v>161</v>
      </c>
      <c r="AL20">
        <v>1.2627182733333333</v>
      </c>
      <c r="AM20">
        <v>3.5651475733333333</v>
      </c>
      <c r="AN20" s="44">
        <v>2018</v>
      </c>
      <c r="AO20" s="44">
        <v>3.6</v>
      </c>
      <c r="AP20" s="44">
        <v>0</v>
      </c>
    </row>
    <row r="21" spans="1:42">
      <c r="A21">
        <v>20</v>
      </c>
      <c r="B21" t="s">
        <v>165</v>
      </c>
      <c r="C21">
        <v>3</v>
      </c>
      <c r="D21" t="s">
        <v>103</v>
      </c>
      <c r="E21" t="s">
        <v>166</v>
      </c>
      <c r="F21" t="s">
        <v>116</v>
      </c>
      <c r="G21" t="s">
        <v>167</v>
      </c>
      <c r="H21" t="s">
        <v>168</v>
      </c>
      <c r="I21" t="s">
        <v>169</v>
      </c>
      <c r="J21" t="s">
        <v>170</v>
      </c>
      <c r="K21" t="s">
        <v>145</v>
      </c>
      <c r="L21" t="s">
        <v>126</v>
      </c>
      <c r="M21" t="s">
        <v>36</v>
      </c>
      <c r="N21" t="s">
        <v>37</v>
      </c>
      <c r="O21">
        <v>7.1</v>
      </c>
      <c r="P21">
        <v>118</v>
      </c>
      <c r="Q21" s="1">
        <v>130000000</v>
      </c>
      <c r="R21" s="1">
        <v>216648740</v>
      </c>
      <c r="S21" s="1">
        <v>406495920</v>
      </c>
      <c r="T21" s="1">
        <v>623144660</v>
      </c>
      <c r="U21" s="2">
        <f t="shared" si="0"/>
        <v>86648740</v>
      </c>
      <c r="V21" s="2">
        <f t="shared" si="0"/>
        <v>276495920</v>
      </c>
      <c r="W21" s="2">
        <f t="shared" si="0"/>
        <v>493144660</v>
      </c>
      <c r="X21" s="37">
        <f t="shared" si="1"/>
        <v>0.6665287692307692</v>
      </c>
      <c r="Y21" s="37">
        <f t="shared" si="1"/>
        <v>2.1268916923076921</v>
      </c>
      <c r="Z21" s="37">
        <f>W21/$Q21</f>
        <v>3.7934204615384615</v>
      </c>
      <c r="AA21" s="3">
        <f t="shared" si="2"/>
        <v>1.4603629230769228</v>
      </c>
      <c r="AB21">
        <v>2.8439999999999999</v>
      </c>
      <c r="AD21">
        <v>-0.64</v>
      </c>
      <c r="AF21" t="s">
        <v>212</v>
      </c>
      <c r="AG21" s="7">
        <v>0.64780885999999982</v>
      </c>
      <c r="AK21" t="s">
        <v>165</v>
      </c>
      <c r="AL21">
        <v>0.6665287692307692</v>
      </c>
      <c r="AM21">
        <v>2.1268916923076921</v>
      </c>
      <c r="AN21" s="44">
        <v>2018</v>
      </c>
      <c r="AO21" s="44">
        <v>3.6</v>
      </c>
      <c r="AP21" s="44">
        <v>0</v>
      </c>
    </row>
    <row r="22" spans="1:42">
      <c r="A22">
        <v>21</v>
      </c>
      <c r="B22" t="s">
        <v>171</v>
      </c>
      <c r="C22">
        <v>3</v>
      </c>
      <c r="D22" t="s">
        <v>27</v>
      </c>
      <c r="E22" t="s">
        <v>172</v>
      </c>
      <c r="F22" t="s">
        <v>173</v>
      </c>
      <c r="G22" t="s">
        <v>174</v>
      </c>
      <c r="H22" t="s">
        <v>50</v>
      </c>
      <c r="I22" t="s">
        <v>175</v>
      </c>
      <c r="J22" t="s">
        <v>176</v>
      </c>
      <c r="K22" t="s">
        <v>62</v>
      </c>
      <c r="L22" t="s">
        <v>101</v>
      </c>
      <c r="M22" t="s">
        <v>36</v>
      </c>
      <c r="N22" t="s">
        <v>37</v>
      </c>
      <c r="O22">
        <v>7.1</v>
      </c>
      <c r="P22">
        <v>123</v>
      </c>
      <c r="Q22" s="1">
        <v>175000000</v>
      </c>
      <c r="R22" s="1">
        <v>426829839</v>
      </c>
      <c r="S22" s="1">
        <v>702746255</v>
      </c>
      <c r="T22" s="1">
        <v>1129576094</v>
      </c>
      <c r="U22" s="2">
        <f t="shared" si="0"/>
        <v>251829839</v>
      </c>
      <c r="V22" s="2">
        <f t="shared" si="0"/>
        <v>527746255</v>
      </c>
      <c r="W22" s="2">
        <f t="shared" si="0"/>
        <v>954576094</v>
      </c>
      <c r="X22" s="37">
        <f t="shared" si="1"/>
        <v>1.4390276514285714</v>
      </c>
      <c r="Y22" s="37">
        <f t="shared" si="1"/>
        <v>3.0156928857142855</v>
      </c>
      <c r="Z22" s="37">
        <f t="shared" si="1"/>
        <v>5.4547205371428573</v>
      </c>
      <c r="AA22">
        <f t="shared" si="2"/>
        <v>1.5766652342857141</v>
      </c>
      <c r="AB22">
        <v>5.4359999999999999</v>
      </c>
      <c r="AD22">
        <v>-2.81</v>
      </c>
      <c r="AF22" s="3" t="s">
        <v>94</v>
      </c>
      <c r="AG22" s="8">
        <v>1.1465174882352942</v>
      </c>
      <c r="AK22" t="s">
        <v>171</v>
      </c>
      <c r="AL22">
        <v>1.4390276514285714</v>
      </c>
      <c r="AM22">
        <v>3.0156928857142855</v>
      </c>
      <c r="AN22" s="44">
        <v>2019</v>
      </c>
      <c r="AO22" s="44">
        <v>3</v>
      </c>
      <c r="AP22" s="44">
        <v>0</v>
      </c>
    </row>
    <row r="23" spans="1:42">
      <c r="A23">
        <v>22</v>
      </c>
      <c r="B23" t="s">
        <v>177</v>
      </c>
      <c r="C23">
        <v>3</v>
      </c>
      <c r="D23" t="s">
        <v>27</v>
      </c>
      <c r="E23" t="s">
        <v>178</v>
      </c>
      <c r="F23" t="s">
        <v>97</v>
      </c>
      <c r="G23" t="s">
        <v>67</v>
      </c>
      <c r="H23" t="s">
        <v>50</v>
      </c>
      <c r="I23" t="s">
        <v>179</v>
      </c>
      <c r="J23" t="s">
        <v>180</v>
      </c>
      <c r="K23" t="s">
        <v>181</v>
      </c>
      <c r="L23" t="s">
        <v>182</v>
      </c>
      <c r="M23" t="s">
        <v>36</v>
      </c>
      <c r="N23" t="s">
        <v>37</v>
      </c>
      <c r="O23">
        <v>8.8000000000000007</v>
      </c>
      <c r="P23">
        <v>181</v>
      </c>
      <c r="Q23" s="1">
        <v>400000000</v>
      </c>
      <c r="R23" s="1">
        <v>858373000</v>
      </c>
      <c r="S23" s="1">
        <v>1859130922</v>
      </c>
      <c r="T23" s="1">
        <v>2717503922</v>
      </c>
      <c r="U23" s="2">
        <f t="shared" si="0"/>
        <v>458373000</v>
      </c>
      <c r="V23" s="2">
        <f t="shared" si="0"/>
        <v>1459130922</v>
      </c>
      <c r="W23" s="2">
        <f t="shared" si="0"/>
        <v>2317503922</v>
      </c>
      <c r="X23" s="37">
        <f t="shared" si="1"/>
        <v>1.1459325</v>
      </c>
      <c r="Y23" s="37">
        <f t="shared" si="1"/>
        <v>3.6478273049999999</v>
      </c>
      <c r="Z23" s="37">
        <f t="shared" si="1"/>
        <v>5.7937598049999997</v>
      </c>
      <c r="AA23">
        <f t="shared" si="2"/>
        <v>2.5018948050000001</v>
      </c>
      <c r="AB23">
        <v>6.5339999999999998</v>
      </c>
      <c r="AD23">
        <v>-3.6</v>
      </c>
      <c r="AF23" s="3" t="s">
        <v>72</v>
      </c>
      <c r="AG23" s="8">
        <v>1.1928195155555554</v>
      </c>
      <c r="AK23" t="s">
        <v>177</v>
      </c>
      <c r="AL23">
        <v>1.1459325</v>
      </c>
      <c r="AM23">
        <v>3.6478273049999999</v>
      </c>
      <c r="AN23" s="44">
        <v>2019</v>
      </c>
      <c r="AO23" s="44">
        <v>3</v>
      </c>
      <c r="AP23" s="44">
        <v>0</v>
      </c>
    </row>
    <row r="24" spans="1:42" s="30" customFormat="1" ht="18" thickBot="1">
      <c r="A24" s="30">
        <v>23</v>
      </c>
      <c r="B24" s="30" t="s">
        <v>183</v>
      </c>
      <c r="C24" s="30">
        <v>3</v>
      </c>
      <c r="D24" s="30" t="s">
        <v>27</v>
      </c>
      <c r="E24" s="30" t="s">
        <v>184</v>
      </c>
      <c r="F24" s="30" t="s">
        <v>140</v>
      </c>
      <c r="G24" s="30" t="s">
        <v>185</v>
      </c>
      <c r="H24" s="30" t="s">
        <v>142</v>
      </c>
      <c r="I24" s="30" t="s">
        <v>186</v>
      </c>
      <c r="J24" s="30" t="s">
        <v>187</v>
      </c>
      <c r="K24" s="30" t="s">
        <v>62</v>
      </c>
      <c r="L24" s="30" t="s">
        <v>188</v>
      </c>
      <c r="M24" s="30" t="s">
        <v>36</v>
      </c>
      <c r="N24" s="30" t="s">
        <v>37</v>
      </c>
      <c r="O24" s="30">
        <v>7.5</v>
      </c>
      <c r="P24" s="30">
        <v>129</v>
      </c>
      <c r="Q24" s="31">
        <v>160000000</v>
      </c>
      <c r="R24" s="31">
        <v>391362492</v>
      </c>
      <c r="S24" s="31">
        <v>740936182</v>
      </c>
      <c r="T24" s="31">
        <v>1132298674</v>
      </c>
      <c r="U24" s="32">
        <f t="shared" si="0"/>
        <v>231362492</v>
      </c>
      <c r="V24" s="32">
        <f t="shared" si="0"/>
        <v>580936182</v>
      </c>
      <c r="W24" s="32">
        <f t="shared" si="0"/>
        <v>972298674</v>
      </c>
      <c r="X24" s="38">
        <f t="shared" si="1"/>
        <v>1.4460155750000001</v>
      </c>
      <c r="Y24" s="38">
        <f t="shared" si="1"/>
        <v>3.6308511375000001</v>
      </c>
      <c r="Z24" s="38">
        <f t="shared" si="1"/>
        <v>6.0768667125000002</v>
      </c>
      <c r="AA24" s="30">
        <f t="shared" si="2"/>
        <v>2.1848355625</v>
      </c>
      <c r="AB24" s="30">
        <v>6.0750000000000002</v>
      </c>
      <c r="AD24" s="30">
        <v>-3.45</v>
      </c>
      <c r="AF24" s="34" t="s">
        <v>138</v>
      </c>
      <c r="AG24" s="35">
        <v>1.1982331257142858</v>
      </c>
      <c r="AK24" s="30" t="s">
        <v>183</v>
      </c>
      <c r="AL24" s="30">
        <v>1.4460155750000001</v>
      </c>
      <c r="AM24" s="30">
        <v>3.6308511375000001</v>
      </c>
      <c r="AN24" s="30">
        <v>2019</v>
      </c>
      <c r="AO24" s="30">
        <v>3</v>
      </c>
      <c r="AP24" s="30">
        <v>0</v>
      </c>
    </row>
    <row r="25" spans="1:42">
      <c r="A25">
        <v>24</v>
      </c>
      <c r="B25" t="s">
        <v>189</v>
      </c>
      <c r="C25">
        <v>4</v>
      </c>
      <c r="D25" t="s">
        <v>27</v>
      </c>
      <c r="E25" t="s">
        <v>190</v>
      </c>
      <c r="F25" t="s">
        <v>191</v>
      </c>
      <c r="G25" t="s">
        <v>192</v>
      </c>
      <c r="H25" t="s">
        <v>50</v>
      </c>
      <c r="I25" t="s">
        <v>193</v>
      </c>
      <c r="J25" t="s">
        <v>194</v>
      </c>
      <c r="K25" t="s">
        <v>62</v>
      </c>
      <c r="M25" t="s">
        <v>36</v>
      </c>
      <c r="N25" t="s">
        <v>37</v>
      </c>
      <c r="O25">
        <v>6.6</v>
      </c>
      <c r="P25">
        <v>134</v>
      </c>
      <c r="Q25" s="1">
        <v>200000000</v>
      </c>
      <c r="R25" s="1">
        <v>183651655</v>
      </c>
      <c r="S25" s="1">
        <v>196099476</v>
      </c>
      <c r="T25" s="1">
        <v>379751131</v>
      </c>
      <c r="U25" s="2">
        <f t="shared" si="0"/>
        <v>-16348345</v>
      </c>
      <c r="V25" s="2">
        <f t="shared" si="0"/>
        <v>-3900524</v>
      </c>
      <c r="W25" s="2">
        <f t="shared" si="0"/>
        <v>179751131</v>
      </c>
      <c r="X25" s="37">
        <f t="shared" si="1"/>
        <v>-8.1741725000000001E-2</v>
      </c>
      <c r="Y25" s="37">
        <f t="shared" si="1"/>
        <v>-1.9502619999999998E-2</v>
      </c>
      <c r="Z25" s="37">
        <f t="shared" si="1"/>
        <v>0.89875565499999999</v>
      </c>
      <c r="AA25">
        <f t="shared" si="2"/>
        <v>6.2239105000000003E-2</v>
      </c>
      <c r="AB25">
        <v>1.532</v>
      </c>
      <c r="AD25">
        <v>7.0000000000000007E-2</v>
      </c>
      <c r="AF25" s="3" t="s">
        <v>114</v>
      </c>
      <c r="AG25" s="8">
        <v>1.2188778692307691</v>
      </c>
      <c r="AK25" t="s">
        <v>189</v>
      </c>
      <c r="AL25">
        <v>-8.1741725000000001E-2</v>
      </c>
      <c r="AM25">
        <v>-1.9502619999999998E-2</v>
      </c>
      <c r="AN25" s="44">
        <v>2021</v>
      </c>
      <c r="AO25" s="44">
        <v>6.6</v>
      </c>
      <c r="AP25" s="44">
        <v>1</v>
      </c>
    </row>
    <row r="26" spans="1:42">
      <c r="A26">
        <v>25</v>
      </c>
      <c r="B26" t="s">
        <v>195</v>
      </c>
      <c r="C26">
        <v>4</v>
      </c>
      <c r="D26" t="s">
        <v>56</v>
      </c>
      <c r="E26" t="s">
        <v>196</v>
      </c>
      <c r="F26" t="s">
        <v>197</v>
      </c>
      <c r="G26" t="s">
        <v>198</v>
      </c>
      <c r="H26" t="s">
        <v>50</v>
      </c>
      <c r="I26" t="s">
        <v>199</v>
      </c>
      <c r="J26" t="s">
        <v>200</v>
      </c>
      <c r="K26" t="s">
        <v>62</v>
      </c>
      <c r="M26" t="s">
        <v>36</v>
      </c>
      <c r="N26" t="s">
        <v>37</v>
      </c>
      <c r="O26">
        <v>7.3</v>
      </c>
      <c r="P26">
        <v>132</v>
      </c>
      <c r="Q26" s="1">
        <v>150000000</v>
      </c>
      <c r="R26" s="1">
        <v>224543292</v>
      </c>
      <c r="S26" s="1">
        <v>207681342</v>
      </c>
      <c r="T26" s="1">
        <v>432224634</v>
      </c>
      <c r="U26" s="2">
        <f t="shared" si="0"/>
        <v>74543292</v>
      </c>
      <c r="V26" s="2">
        <f t="shared" si="0"/>
        <v>57681342</v>
      </c>
      <c r="W26" s="2">
        <f t="shared" si="0"/>
        <v>282224634</v>
      </c>
      <c r="X26" s="37">
        <f t="shared" si="1"/>
        <v>0.49695528</v>
      </c>
      <c r="Y26" s="37">
        <f t="shared" si="1"/>
        <v>0.38454228000000001</v>
      </c>
      <c r="Z26" s="37">
        <f t="shared" si="1"/>
        <v>1.8814975599999999</v>
      </c>
      <c r="AA26">
        <f t="shared" si="2"/>
        <v>-0.11241299999999999</v>
      </c>
      <c r="AB26">
        <v>1.161</v>
      </c>
      <c r="AD26">
        <v>0.63</v>
      </c>
      <c r="AF26" s="3" t="s">
        <v>146</v>
      </c>
      <c r="AG26" s="8">
        <v>1.2242566666666668</v>
      </c>
      <c r="AK26" t="s">
        <v>195</v>
      </c>
      <c r="AL26">
        <v>0.49695528</v>
      </c>
      <c r="AM26">
        <v>0.38454228000000001</v>
      </c>
      <c r="AN26" s="44">
        <v>2021</v>
      </c>
      <c r="AO26" s="44">
        <v>6.6</v>
      </c>
      <c r="AP26" s="44">
        <v>1</v>
      </c>
    </row>
    <row r="27" spans="1:42">
      <c r="A27">
        <v>26</v>
      </c>
      <c r="B27" t="s">
        <v>201</v>
      </c>
      <c r="C27">
        <v>4</v>
      </c>
      <c r="D27" t="s">
        <v>202</v>
      </c>
      <c r="E27" t="s">
        <v>203</v>
      </c>
      <c r="F27" t="s">
        <v>204</v>
      </c>
      <c r="G27" t="s">
        <v>205</v>
      </c>
      <c r="H27" t="s">
        <v>50</v>
      </c>
      <c r="I27" t="s">
        <v>206</v>
      </c>
      <c r="J27" t="s">
        <v>207</v>
      </c>
      <c r="K27" t="s">
        <v>62</v>
      </c>
      <c r="M27" t="s">
        <v>36</v>
      </c>
      <c r="N27" t="s">
        <v>37</v>
      </c>
      <c r="O27">
        <v>6.2</v>
      </c>
      <c r="P27">
        <v>156</v>
      </c>
      <c r="Q27" s="1">
        <v>200000000</v>
      </c>
      <c r="R27" s="1">
        <v>164870264</v>
      </c>
      <c r="S27" s="1">
        <v>236861495</v>
      </c>
      <c r="T27" s="1">
        <v>401731759</v>
      </c>
      <c r="U27" s="2">
        <f t="shared" si="0"/>
        <v>-35129736</v>
      </c>
      <c r="V27" s="2">
        <f t="shared" si="0"/>
        <v>36861495</v>
      </c>
      <c r="W27" s="2">
        <f t="shared" si="0"/>
        <v>201731759</v>
      </c>
      <c r="X27" s="37">
        <f t="shared" si="1"/>
        <v>-0.17564868</v>
      </c>
      <c r="Y27" s="37">
        <f t="shared" si="1"/>
        <v>0.184307475</v>
      </c>
      <c r="Z27" s="37">
        <f t="shared" si="1"/>
        <v>1.0086587950000001</v>
      </c>
      <c r="AA27" s="3">
        <f t="shared" si="2"/>
        <v>0.359956155</v>
      </c>
      <c r="AB27">
        <v>1.01</v>
      </c>
      <c r="AD27">
        <v>0.68</v>
      </c>
      <c r="AF27" s="3" t="s">
        <v>127</v>
      </c>
      <c r="AG27" s="8">
        <v>1.2791474787878789</v>
      </c>
      <c r="AK27" t="s">
        <v>201</v>
      </c>
      <c r="AL27">
        <v>-0.17564868</v>
      </c>
      <c r="AM27">
        <v>0.184307475</v>
      </c>
      <c r="AN27" s="44">
        <v>2021</v>
      </c>
      <c r="AO27" s="44">
        <v>6.6</v>
      </c>
      <c r="AP27" s="44">
        <v>1</v>
      </c>
    </row>
    <row r="28" spans="1:42">
      <c r="A28">
        <v>27</v>
      </c>
      <c r="B28" t="s">
        <v>208</v>
      </c>
      <c r="C28">
        <v>4</v>
      </c>
      <c r="D28" t="s">
        <v>27</v>
      </c>
      <c r="E28" t="s">
        <v>209</v>
      </c>
      <c r="F28" t="s">
        <v>140</v>
      </c>
      <c r="G28" t="s">
        <v>185</v>
      </c>
      <c r="H28" t="s">
        <v>142</v>
      </c>
      <c r="I28" t="s">
        <v>210</v>
      </c>
      <c r="J28" t="s">
        <v>211</v>
      </c>
      <c r="K28" t="s">
        <v>62</v>
      </c>
      <c r="M28" t="s">
        <v>36</v>
      </c>
      <c r="N28" t="s">
        <v>37</v>
      </c>
      <c r="O28">
        <v>8.1999999999999993</v>
      </c>
      <c r="P28">
        <v>148</v>
      </c>
      <c r="Q28" s="1">
        <v>200000000</v>
      </c>
      <c r="R28" s="1">
        <v>814811535</v>
      </c>
      <c r="S28" s="1">
        <v>1106395051</v>
      </c>
      <c r="T28" s="1">
        <v>1921206586</v>
      </c>
      <c r="U28" s="2">
        <f t="shared" si="0"/>
        <v>614811535</v>
      </c>
      <c r="V28" s="2">
        <f t="shared" si="0"/>
        <v>906395051</v>
      </c>
      <c r="W28" s="2">
        <f t="shared" si="0"/>
        <v>1721206586</v>
      </c>
      <c r="X28" s="37">
        <f t="shared" si="1"/>
        <v>3.0740576750000002</v>
      </c>
      <c r="Y28" s="37">
        <f t="shared" si="1"/>
        <v>4.5319752549999999</v>
      </c>
      <c r="Z28" s="37">
        <f t="shared" si="1"/>
        <v>8.6060329299999996</v>
      </c>
      <c r="AA28">
        <f t="shared" si="2"/>
        <v>1.4579175799999997</v>
      </c>
      <c r="AB28">
        <v>8.6069999999999993</v>
      </c>
      <c r="AD28">
        <v>-5.77</v>
      </c>
      <c r="AF28" s="3" t="s">
        <v>109</v>
      </c>
      <c r="AG28" s="8">
        <v>1.3076855972602739</v>
      </c>
      <c r="AK28" t="s">
        <v>208</v>
      </c>
      <c r="AL28">
        <v>3.0740576750000002</v>
      </c>
      <c r="AM28">
        <v>4.5319752549999999</v>
      </c>
      <c r="AN28" s="44">
        <v>2021</v>
      </c>
      <c r="AO28" s="44">
        <v>6.6</v>
      </c>
      <c r="AP28" s="44">
        <v>1</v>
      </c>
    </row>
    <row r="29" spans="1:42">
      <c r="A29">
        <v>28</v>
      </c>
      <c r="B29" t="s">
        <v>212</v>
      </c>
      <c r="C29">
        <v>4</v>
      </c>
      <c r="D29" t="s">
        <v>213</v>
      </c>
      <c r="E29" t="s">
        <v>214</v>
      </c>
      <c r="F29" t="s">
        <v>215</v>
      </c>
      <c r="G29" t="s">
        <v>216</v>
      </c>
      <c r="H29" t="s">
        <v>50</v>
      </c>
      <c r="I29" t="s">
        <v>217</v>
      </c>
      <c r="J29" t="s">
        <v>218</v>
      </c>
      <c r="K29" t="s">
        <v>62</v>
      </c>
      <c r="M29" t="s">
        <v>36</v>
      </c>
      <c r="N29" t="s">
        <v>37</v>
      </c>
      <c r="O29">
        <v>6.9</v>
      </c>
      <c r="P29">
        <v>126</v>
      </c>
      <c r="Q29" s="1">
        <v>200000000</v>
      </c>
      <c r="R29" s="1">
        <v>411331607</v>
      </c>
      <c r="S29" s="1">
        <v>540893379</v>
      </c>
      <c r="T29" s="1">
        <v>952224986</v>
      </c>
      <c r="U29" s="2">
        <f t="shared" si="0"/>
        <v>211331607</v>
      </c>
      <c r="V29" s="2">
        <f t="shared" si="0"/>
        <v>340893379</v>
      </c>
      <c r="W29" s="2">
        <f t="shared" si="0"/>
        <v>752224986</v>
      </c>
      <c r="X29" s="37">
        <f t="shared" si="1"/>
        <v>1.0566580350000001</v>
      </c>
      <c r="Y29" s="37">
        <f t="shared" si="1"/>
        <v>1.7044668949999999</v>
      </c>
      <c r="Z29" s="37">
        <f t="shared" si="1"/>
        <v>3.7611249299999998</v>
      </c>
      <c r="AA29">
        <f t="shared" si="2"/>
        <v>0.64780885999999982</v>
      </c>
      <c r="AB29">
        <v>3.7789999999999999</v>
      </c>
      <c r="AD29">
        <v>-1.25</v>
      </c>
      <c r="AF29" s="3" t="s">
        <v>121</v>
      </c>
      <c r="AG29" s="8">
        <v>1.342923552</v>
      </c>
      <c r="AK29" t="s">
        <v>212</v>
      </c>
      <c r="AL29">
        <v>1.0566580350000001</v>
      </c>
      <c r="AM29">
        <v>1.7044668949999999</v>
      </c>
      <c r="AN29" s="44">
        <v>2022</v>
      </c>
      <c r="AO29" s="44">
        <v>3.8</v>
      </c>
      <c r="AP29" s="44">
        <v>1</v>
      </c>
    </row>
    <row r="30" spans="1:42">
      <c r="A30">
        <v>29</v>
      </c>
      <c r="B30" t="s">
        <v>219</v>
      </c>
      <c r="C30">
        <v>4</v>
      </c>
      <c r="D30" t="s">
        <v>87</v>
      </c>
      <c r="E30" t="s">
        <v>220</v>
      </c>
      <c r="F30" t="s">
        <v>149</v>
      </c>
      <c r="G30" t="s">
        <v>221</v>
      </c>
      <c r="H30" t="s">
        <v>50</v>
      </c>
      <c r="I30" t="s">
        <v>222</v>
      </c>
      <c r="J30" t="s">
        <v>223</v>
      </c>
      <c r="K30" t="s">
        <v>62</v>
      </c>
      <c r="M30" t="s">
        <v>36</v>
      </c>
      <c r="N30" t="s">
        <v>37</v>
      </c>
      <c r="O30">
        <v>6.2</v>
      </c>
      <c r="P30">
        <v>118</v>
      </c>
      <c r="Q30" s="1">
        <v>250000000</v>
      </c>
      <c r="R30" s="1">
        <v>343256830</v>
      </c>
      <c r="S30" s="1">
        <v>417671251</v>
      </c>
      <c r="T30" s="1">
        <v>760928081</v>
      </c>
      <c r="U30" s="2">
        <f t="shared" si="0"/>
        <v>93256830</v>
      </c>
      <c r="V30" s="2">
        <f t="shared" si="0"/>
        <v>167671251</v>
      </c>
      <c r="W30" s="2">
        <f t="shared" si="0"/>
        <v>510928081</v>
      </c>
      <c r="X30" s="37">
        <f t="shared" si="1"/>
        <v>0.37302732</v>
      </c>
      <c r="Y30" s="37">
        <f t="shared" si="1"/>
        <v>0.67068500399999997</v>
      </c>
      <c r="Z30" s="37">
        <f t="shared" si="1"/>
        <v>2.0437123239999999</v>
      </c>
      <c r="AA30">
        <f t="shared" si="2"/>
        <v>0.29765768399999998</v>
      </c>
      <c r="AB30">
        <v>2.044</v>
      </c>
      <c r="AD30">
        <v>0.33</v>
      </c>
      <c r="AF30" s="3" t="s">
        <v>208</v>
      </c>
      <c r="AG30" s="8">
        <v>1.4579175799999997</v>
      </c>
      <c r="AK30" t="s">
        <v>219</v>
      </c>
      <c r="AL30">
        <v>0.37302732</v>
      </c>
      <c r="AM30">
        <v>0.67068500399999997</v>
      </c>
      <c r="AN30" s="44">
        <v>2022</v>
      </c>
      <c r="AO30" s="44">
        <v>3.8</v>
      </c>
      <c r="AP30" s="44">
        <v>1</v>
      </c>
    </row>
    <row r="31" spans="1:42" s="30" customFormat="1" ht="18" thickBot="1">
      <c r="A31" s="30">
        <v>30</v>
      </c>
      <c r="B31" s="30" t="s">
        <v>288</v>
      </c>
      <c r="C31" s="30">
        <v>4</v>
      </c>
      <c r="D31" s="30" t="s">
        <v>225</v>
      </c>
      <c r="E31" s="30" t="s">
        <v>226</v>
      </c>
      <c r="F31" s="30" t="s">
        <v>156</v>
      </c>
      <c r="G31" s="30" t="s">
        <v>157</v>
      </c>
      <c r="H31" s="30" t="s">
        <v>50</v>
      </c>
      <c r="I31" s="30" t="s">
        <v>227</v>
      </c>
      <c r="J31" s="30" t="s">
        <v>228</v>
      </c>
      <c r="K31" s="30" t="s">
        <v>62</v>
      </c>
      <c r="M31" s="30" t="s">
        <v>36</v>
      </c>
      <c r="N31" s="30" t="s">
        <v>37</v>
      </c>
      <c r="O31" s="30">
        <v>7.3</v>
      </c>
      <c r="P31" s="30">
        <v>161</v>
      </c>
      <c r="Q31" s="31">
        <v>250000000</v>
      </c>
      <c r="R31" s="31">
        <v>453829060</v>
      </c>
      <c r="S31" s="31">
        <v>405379776</v>
      </c>
      <c r="T31" s="31">
        <v>859208836</v>
      </c>
      <c r="U31" s="32">
        <f t="shared" si="0"/>
        <v>203829060</v>
      </c>
      <c r="V31" s="32">
        <f t="shared" si="0"/>
        <v>155379776</v>
      </c>
      <c r="W31" s="32">
        <f t="shared" si="0"/>
        <v>609208836</v>
      </c>
      <c r="X31" s="38">
        <f t="shared" si="1"/>
        <v>0.81531624000000003</v>
      </c>
      <c r="Y31" s="38">
        <f t="shared" si="1"/>
        <v>0.62151910399999999</v>
      </c>
      <c r="Z31" s="38">
        <f t="shared" si="1"/>
        <v>2.4368353439999999</v>
      </c>
      <c r="AA31" s="30">
        <f>Y31-X31</f>
        <v>-0.19379713600000004</v>
      </c>
      <c r="AB31" s="30">
        <v>2.4369999999999998</v>
      </c>
      <c r="AD31" s="30">
        <v>0.03</v>
      </c>
      <c r="AF31" s="34" t="s">
        <v>165</v>
      </c>
      <c r="AG31" s="35">
        <v>1.4603629230769228</v>
      </c>
      <c r="AK31" s="30" t="s">
        <v>224</v>
      </c>
      <c r="AL31" s="30">
        <v>0.81531624000000003</v>
      </c>
      <c r="AM31" s="30">
        <v>0.62151910399999999</v>
      </c>
      <c r="AN31" s="30">
        <v>2022</v>
      </c>
      <c r="AO31" s="30">
        <v>3.8</v>
      </c>
      <c r="AP31" s="30">
        <v>1</v>
      </c>
    </row>
    <row r="32" spans="1:42">
      <c r="A32">
        <v>31</v>
      </c>
      <c r="B32" t="s">
        <v>292</v>
      </c>
      <c r="C32">
        <v>5</v>
      </c>
      <c r="D32" t="s">
        <v>235</v>
      </c>
      <c r="E32" t="s">
        <v>284</v>
      </c>
      <c r="F32" t="s">
        <v>116</v>
      </c>
      <c r="G32" t="s">
        <v>236</v>
      </c>
      <c r="H32" t="s">
        <v>50</v>
      </c>
      <c r="I32" t="s">
        <v>237</v>
      </c>
      <c r="J32" t="s">
        <v>238</v>
      </c>
      <c r="K32" t="s">
        <v>62</v>
      </c>
      <c r="M32" t="s">
        <v>36</v>
      </c>
      <c r="N32" t="s">
        <v>37</v>
      </c>
      <c r="O32">
        <v>6</v>
      </c>
      <c r="P32">
        <v>124</v>
      </c>
      <c r="Q32" s="1">
        <v>250000000</v>
      </c>
      <c r="R32" s="1">
        <v>214506909</v>
      </c>
      <c r="S32" s="1">
        <v>261566271</v>
      </c>
      <c r="T32" s="1">
        <v>476073180</v>
      </c>
      <c r="U32" s="2">
        <f t="shared" si="0"/>
        <v>-35493091</v>
      </c>
      <c r="V32" s="2">
        <f t="shared" si="0"/>
        <v>11566271</v>
      </c>
      <c r="W32" s="2">
        <f t="shared" si="0"/>
        <v>226073180</v>
      </c>
      <c r="X32" s="37">
        <f t="shared" si="1"/>
        <v>-0.14197236399999999</v>
      </c>
      <c r="Y32" s="37">
        <f t="shared" si="1"/>
        <v>4.6265083999999998E-2</v>
      </c>
      <c r="Z32" s="37">
        <f t="shared" si="1"/>
        <v>0.90429272000000005</v>
      </c>
      <c r="AA32">
        <f t="shared" ref="AA32:AA33" si="3">Y32-X32</f>
        <v>0.18823744799999997</v>
      </c>
      <c r="AB32">
        <v>1.38</v>
      </c>
      <c r="AD32">
        <v>2.17</v>
      </c>
      <c r="AF32" s="3" t="s">
        <v>86</v>
      </c>
      <c r="AG32" s="8">
        <v>1.5458549066666667</v>
      </c>
      <c r="AK32" t="s">
        <v>234</v>
      </c>
      <c r="AL32">
        <v>7.2534545000000006E-2</v>
      </c>
      <c r="AM32">
        <v>0.30783135499999997</v>
      </c>
      <c r="AN32" s="44">
        <v>2023</v>
      </c>
      <c r="AO32" s="44">
        <v>3.5</v>
      </c>
      <c r="AP32" s="44">
        <v>1</v>
      </c>
    </row>
    <row r="33" spans="1:42">
      <c r="A33">
        <v>32</v>
      </c>
      <c r="B33" t="s">
        <v>239</v>
      </c>
      <c r="C33">
        <v>5</v>
      </c>
      <c r="D33" t="s">
        <v>240</v>
      </c>
      <c r="E33" t="s">
        <v>283</v>
      </c>
      <c r="F33" t="s">
        <v>105</v>
      </c>
      <c r="G33" t="s">
        <v>105</v>
      </c>
      <c r="H33" t="s">
        <v>50</v>
      </c>
      <c r="I33" t="s">
        <v>241</v>
      </c>
      <c r="J33" t="s">
        <v>242</v>
      </c>
      <c r="K33" t="s">
        <v>62</v>
      </c>
      <c r="M33" t="s">
        <v>36</v>
      </c>
      <c r="N33" t="s">
        <v>37</v>
      </c>
      <c r="O33">
        <v>7.9</v>
      </c>
      <c r="P33">
        <v>150</v>
      </c>
      <c r="Q33" s="1">
        <v>270000000</v>
      </c>
      <c r="R33" s="1">
        <v>358995815</v>
      </c>
      <c r="S33" s="1">
        <v>486559962</v>
      </c>
      <c r="T33" s="1">
        <v>845555777</v>
      </c>
      <c r="U33" s="2">
        <f t="shared" si="0"/>
        <v>88995815</v>
      </c>
      <c r="V33" s="2">
        <f t="shared" si="0"/>
        <v>216559962</v>
      </c>
      <c r="W33" s="2">
        <f t="shared" si="0"/>
        <v>575555777</v>
      </c>
      <c r="X33" s="37">
        <f t="shared" si="1"/>
        <v>0.3296141296296296</v>
      </c>
      <c r="Y33" s="37">
        <f t="shared" si="1"/>
        <v>0.80207393333333332</v>
      </c>
      <c r="Z33" s="37">
        <f t="shared" si="1"/>
        <v>2.1316880629629629</v>
      </c>
      <c r="AA33" s="3">
        <f t="shared" si="3"/>
        <v>0.47245980370370372</v>
      </c>
      <c r="AB33">
        <v>2.3820000000000001</v>
      </c>
      <c r="AD33">
        <v>1.07</v>
      </c>
      <c r="AF33" s="3" t="s">
        <v>171</v>
      </c>
      <c r="AG33" s="8">
        <v>1.5766652342857141</v>
      </c>
      <c r="AK33" t="s">
        <v>239</v>
      </c>
      <c r="AL33">
        <v>0.43598325999999998</v>
      </c>
      <c r="AM33">
        <v>0.94623984800000005</v>
      </c>
      <c r="AN33" s="44">
        <v>2023</v>
      </c>
      <c r="AO33" s="44">
        <v>3.5</v>
      </c>
      <c r="AP33" s="44">
        <v>1</v>
      </c>
    </row>
    <row r="34" spans="1:42">
      <c r="A34">
        <v>33</v>
      </c>
      <c r="B34" t="s">
        <v>229</v>
      </c>
      <c r="C34">
        <v>5</v>
      </c>
      <c r="D34" t="s">
        <v>56</v>
      </c>
      <c r="E34" t="s">
        <v>285</v>
      </c>
      <c r="F34" t="s">
        <v>230</v>
      </c>
      <c r="G34" t="s">
        <v>231</v>
      </c>
      <c r="H34" t="s">
        <v>50</v>
      </c>
      <c r="I34" t="s">
        <v>232</v>
      </c>
      <c r="J34" t="s">
        <v>233</v>
      </c>
      <c r="K34" t="s">
        <v>62</v>
      </c>
      <c r="M34" t="s">
        <v>36</v>
      </c>
      <c r="N34" t="s">
        <v>37</v>
      </c>
      <c r="O34">
        <v>5.5</v>
      </c>
      <c r="P34">
        <v>105</v>
      </c>
      <c r="Q34" s="1">
        <v>270000000</v>
      </c>
      <c r="R34" s="1">
        <v>84500223</v>
      </c>
      <c r="S34" s="1">
        <v>115206027</v>
      </c>
      <c r="T34" s="1">
        <v>199706250</v>
      </c>
      <c r="U34" s="2">
        <f t="shared" si="0"/>
        <v>-185499777</v>
      </c>
      <c r="V34" s="2">
        <f t="shared" si="0"/>
        <v>-154793973</v>
      </c>
      <c r="W34" s="2">
        <f t="shared" si="0"/>
        <v>-70293750</v>
      </c>
      <c r="X34" s="37">
        <f t="shared" si="1"/>
        <v>-0.68703621111111113</v>
      </c>
      <c r="Y34" s="37">
        <f t="shared" si="1"/>
        <v>-0.57331101111111116</v>
      </c>
      <c r="Z34" s="37">
        <f t="shared" si="1"/>
        <v>-0.26034722222222223</v>
      </c>
      <c r="AA34">
        <f t="shared" si="2"/>
        <v>0.11372519999999997</v>
      </c>
      <c r="AB34">
        <v>-0.25</v>
      </c>
      <c r="AD34">
        <v>-2.17</v>
      </c>
      <c r="AF34" s="3" t="s">
        <v>79</v>
      </c>
      <c r="AG34" s="8">
        <v>1.98323206</v>
      </c>
      <c r="AK34" t="s">
        <v>286</v>
      </c>
      <c r="AL34">
        <v>-0.68703621111111113</v>
      </c>
      <c r="AM34">
        <v>-0.57331101111111116</v>
      </c>
      <c r="AN34" s="44">
        <v>2023</v>
      </c>
      <c r="AO34" s="44">
        <v>3.5</v>
      </c>
      <c r="AP34" s="44">
        <v>0</v>
      </c>
    </row>
    <row r="35" spans="1:42">
      <c r="A35">
        <v>34</v>
      </c>
      <c r="B35" t="s">
        <v>243</v>
      </c>
      <c r="C35">
        <v>5</v>
      </c>
      <c r="D35" t="s">
        <v>244</v>
      </c>
      <c r="E35" t="s">
        <v>245</v>
      </c>
      <c r="F35" t="s">
        <v>246</v>
      </c>
      <c r="G35" t="s">
        <v>247</v>
      </c>
      <c r="H35" t="s">
        <v>248</v>
      </c>
      <c r="I35" t="s">
        <v>249</v>
      </c>
      <c r="J35" t="s">
        <v>250</v>
      </c>
      <c r="K35" t="s">
        <v>62</v>
      </c>
      <c r="M35" t="s">
        <v>36</v>
      </c>
      <c r="N35" t="s">
        <v>251</v>
      </c>
      <c r="O35">
        <v>7.5</v>
      </c>
      <c r="P35">
        <v>128</v>
      </c>
      <c r="Q35" s="1">
        <v>200000000</v>
      </c>
      <c r="R35" s="1">
        <v>636745858</v>
      </c>
      <c r="S35" s="1">
        <v>701325490</v>
      </c>
      <c r="T35" s="1">
        <v>1338071348</v>
      </c>
      <c r="U35" s="2">
        <f t="shared" si="0"/>
        <v>436745858</v>
      </c>
      <c r="V35" s="2">
        <f t="shared" si="0"/>
        <v>501325490</v>
      </c>
      <c r="W35" s="2">
        <f t="shared" si="0"/>
        <v>1138071348</v>
      </c>
      <c r="X35" s="37">
        <f t="shared" si="1"/>
        <v>2.18372929</v>
      </c>
      <c r="Y35" s="37">
        <f t="shared" si="1"/>
        <v>2.5066274499999999</v>
      </c>
      <c r="Z35" s="37">
        <f t="shared" si="1"/>
        <v>5.6903567400000004</v>
      </c>
      <c r="AA35">
        <f t="shared" si="2"/>
        <v>0.32289815999999982</v>
      </c>
      <c r="AB35">
        <v>5.69</v>
      </c>
      <c r="AD35">
        <v>-2.98</v>
      </c>
      <c r="AF35" s="3" t="s">
        <v>183</v>
      </c>
      <c r="AG35" s="8">
        <v>2.1848355625</v>
      </c>
      <c r="AK35" t="s">
        <v>243</v>
      </c>
      <c r="AL35">
        <v>2.18372929</v>
      </c>
      <c r="AM35">
        <v>2.5066274499999999</v>
      </c>
      <c r="AN35" s="44">
        <v>2024</v>
      </c>
      <c r="AO35" s="44">
        <v>3.3</v>
      </c>
      <c r="AP35" s="44">
        <v>0</v>
      </c>
    </row>
    <row r="36" spans="1:42">
      <c r="A36">
        <v>35</v>
      </c>
      <c r="B36" t="s">
        <v>252</v>
      </c>
      <c r="C36">
        <v>5</v>
      </c>
      <c r="D36" t="s">
        <v>253</v>
      </c>
      <c r="E36" t="s">
        <v>254</v>
      </c>
      <c r="F36" t="s">
        <v>255</v>
      </c>
      <c r="G36" t="s">
        <v>256</v>
      </c>
      <c r="H36" t="s">
        <v>257</v>
      </c>
      <c r="I36" t="s">
        <v>258</v>
      </c>
      <c r="J36" t="s">
        <v>259</v>
      </c>
      <c r="K36" t="s">
        <v>62</v>
      </c>
      <c r="M36" t="s">
        <v>36</v>
      </c>
      <c r="N36" t="s">
        <v>37</v>
      </c>
      <c r="O36">
        <v>5.7</v>
      </c>
      <c r="P36">
        <v>118</v>
      </c>
      <c r="Q36" s="1">
        <v>180000000</v>
      </c>
      <c r="R36" s="1">
        <v>200500001</v>
      </c>
      <c r="S36" s="1">
        <v>213140020</v>
      </c>
      <c r="T36" s="1">
        <v>413640021</v>
      </c>
      <c r="U36" s="2">
        <f t="shared" si="0"/>
        <v>20500001</v>
      </c>
      <c r="V36" s="2">
        <f t="shared" si="0"/>
        <v>33140020</v>
      </c>
      <c r="W36" s="2">
        <f t="shared" si="0"/>
        <v>233640021</v>
      </c>
      <c r="X36" s="37">
        <f t="shared" si="1"/>
        <v>0.11388889444444444</v>
      </c>
      <c r="Y36" s="37">
        <f t="shared" si="1"/>
        <v>0.18411122222222223</v>
      </c>
      <c r="Z36" s="37">
        <f t="shared" si="1"/>
        <v>1.2980001166666666</v>
      </c>
      <c r="AA36">
        <f t="shared" si="2"/>
        <v>7.0222327777777788E-2</v>
      </c>
      <c r="AB36">
        <v>0.38400000000000001</v>
      </c>
      <c r="AD36">
        <v>1.35</v>
      </c>
      <c r="AF36" s="3" t="s">
        <v>161</v>
      </c>
      <c r="AG36" s="8">
        <v>2.3024293</v>
      </c>
      <c r="AK36" t="s">
        <v>252</v>
      </c>
      <c r="AL36">
        <v>0.11388889444444444</v>
      </c>
      <c r="AM36">
        <v>0.18411122222222223</v>
      </c>
      <c r="AN36" s="44">
        <v>2025</v>
      </c>
      <c r="AO36" s="44">
        <v>3.2</v>
      </c>
      <c r="AP36" s="44">
        <v>0</v>
      </c>
    </row>
    <row r="37" spans="1:42">
      <c r="A37">
        <v>36</v>
      </c>
      <c r="B37" t="s">
        <v>260</v>
      </c>
      <c r="C37">
        <v>5</v>
      </c>
      <c r="D37" t="s">
        <v>261</v>
      </c>
      <c r="E37" t="s">
        <v>262</v>
      </c>
      <c r="F37" t="s">
        <v>263</v>
      </c>
      <c r="G37" t="s">
        <v>264</v>
      </c>
      <c r="H37" t="s">
        <v>50</v>
      </c>
      <c r="I37" t="s">
        <v>265</v>
      </c>
      <c r="J37" t="s">
        <v>266</v>
      </c>
      <c r="K37" t="s">
        <v>267</v>
      </c>
      <c r="M37" t="s">
        <v>36</v>
      </c>
      <c r="N37" t="s">
        <v>37</v>
      </c>
      <c r="O37">
        <v>7.6</v>
      </c>
      <c r="P37">
        <v>127</v>
      </c>
      <c r="Q37" s="1">
        <v>180000000</v>
      </c>
      <c r="R37" s="1">
        <v>187552653</v>
      </c>
      <c r="S37" s="1">
        <v>190269344</v>
      </c>
      <c r="T37" s="1">
        <v>377821997</v>
      </c>
      <c r="U37" s="2">
        <f t="shared" si="0"/>
        <v>7552653</v>
      </c>
      <c r="V37" s="2">
        <f t="shared" si="0"/>
        <v>10269344</v>
      </c>
      <c r="W37" s="2">
        <f t="shared" si="0"/>
        <v>197821997</v>
      </c>
      <c r="X37" s="37">
        <f t="shared" si="1"/>
        <v>4.195918333333333E-2</v>
      </c>
      <c r="Y37" s="37">
        <f t="shared" si="1"/>
        <v>5.705191111111111E-2</v>
      </c>
      <c r="Z37" s="37">
        <f t="shared" si="1"/>
        <v>1.0990110944444444</v>
      </c>
      <c r="AA37">
        <f t="shared" si="2"/>
        <v>1.509272777777778E-2</v>
      </c>
      <c r="AB37">
        <v>0.996</v>
      </c>
      <c r="AD37">
        <v>0.6</v>
      </c>
      <c r="AF37" s="3" t="s">
        <v>177</v>
      </c>
      <c r="AG37" s="8">
        <v>2.5018948050000001</v>
      </c>
      <c r="AH37" s="3">
        <v>1.8450000000000002</v>
      </c>
      <c r="AI37" t="s">
        <v>260</v>
      </c>
      <c r="AJ37">
        <v>98199788.931579977</v>
      </c>
      <c r="AK37">
        <v>99622208.068420023</v>
      </c>
      <c r="AL37">
        <v>4.195918333333333E-2</v>
      </c>
      <c r="AM37">
        <v>5.705191111111111E-2</v>
      </c>
      <c r="AN37" s="44">
        <v>2025</v>
      </c>
      <c r="AO37" s="44">
        <v>3.2</v>
      </c>
      <c r="AP37" s="44">
        <v>0</v>
      </c>
    </row>
    <row r="38" spans="1:42">
      <c r="Q38" s="2">
        <f>SUM(Q2:Q37)</f>
        <v>7328500000</v>
      </c>
      <c r="R38" s="2">
        <f>SUM(R2:R37)</f>
        <v>12826274378</v>
      </c>
      <c r="S38" s="2">
        <f>SUM(S2:S37)</f>
        <v>19008874508</v>
      </c>
      <c r="T38" s="2">
        <f>SUM(T2:T37)</f>
        <v>31835148886</v>
      </c>
      <c r="U38" s="2"/>
      <c r="V38" s="2">
        <f>SUM(V2:V37)</f>
        <v>11680374508</v>
      </c>
      <c r="W38" s="2">
        <f>SUM(W2:W37)</f>
        <v>24506648886</v>
      </c>
      <c r="X38">
        <f>AVERAGE(X2:X37)</f>
        <v>0.7455173533242303</v>
      </c>
      <c r="Y38">
        <f>AVERAGE(Y2:Y37)</f>
        <v>1.5306923737937315</v>
      </c>
      <c r="Z38">
        <f>AVERAGE(Z2:Z37)</f>
        <v>3.276209727117962</v>
      </c>
      <c r="AG38" s="7"/>
    </row>
    <row r="42" spans="1:42">
      <c r="AE42" s="4"/>
    </row>
    <row r="46" spans="1:42">
      <c r="W46" s="36"/>
    </row>
    <row r="51" spans="18:20">
      <c r="R51" s="1"/>
      <c r="S51" s="1"/>
      <c r="T51" s="1"/>
    </row>
  </sheetData>
  <phoneticPr fontId="18"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BB67-79EC-4030-906B-7F18EB68E165}">
  <dimension ref="B4:K23"/>
  <sheetViews>
    <sheetView showGridLines="0" topLeftCell="A2" zoomScaleNormal="100" workbookViewId="0">
      <selection activeCell="I14" sqref="I14"/>
    </sheetView>
  </sheetViews>
  <sheetFormatPr defaultRowHeight="17.25"/>
  <cols>
    <col min="2" max="2" width="26.6640625" customWidth="1"/>
    <col min="3" max="3" width="5.33203125" bestFit="1" customWidth="1"/>
    <col min="4" max="4" width="7.77734375" bestFit="1" customWidth="1"/>
    <col min="5" max="5" width="26.6640625" customWidth="1"/>
    <col min="6" max="6" width="5.33203125" bestFit="1" customWidth="1"/>
    <col min="7" max="7" width="7.77734375" bestFit="1" customWidth="1"/>
  </cols>
  <sheetData>
    <row r="4" spans="2:7">
      <c r="B4" s="9" t="s">
        <v>1</v>
      </c>
      <c r="C4" s="9" t="s">
        <v>282</v>
      </c>
      <c r="D4" s="9" t="s">
        <v>270</v>
      </c>
      <c r="E4" s="13" t="s">
        <v>1</v>
      </c>
      <c r="F4" s="9" t="s">
        <v>282</v>
      </c>
      <c r="G4" s="9" t="s">
        <v>270</v>
      </c>
    </row>
    <row r="5" spans="2:7">
      <c r="B5" s="29" t="s">
        <v>26</v>
      </c>
      <c r="C5" s="20">
        <v>2.1445044462365592</v>
      </c>
      <c r="D5" s="22">
        <v>0.436</v>
      </c>
      <c r="E5" s="14" t="s">
        <v>161</v>
      </c>
      <c r="F5" s="20">
        <v>5.8278658466666666</v>
      </c>
      <c r="G5" s="22">
        <v>0.93400000000000005</v>
      </c>
    </row>
    <row r="6" spans="2:7">
      <c r="B6" s="10" t="s">
        <v>38</v>
      </c>
      <c r="C6" s="20">
        <v>0.93144624727272729</v>
      </c>
      <c r="D6" s="22">
        <v>0</v>
      </c>
      <c r="E6" s="14" t="s">
        <v>165</v>
      </c>
      <c r="F6" s="20">
        <v>3.7934204615384615</v>
      </c>
      <c r="G6" s="22">
        <v>0.27400000000000002</v>
      </c>
    </row>
    <row r="7" spans="2:7">
      <c r="B7" s="10" t="s">
        <v>47</v>
      </c>
      <c r="C7" s="20">
        <v>2.653861111764706</v>
      </c>
      <c r="D7" s="22">
        <v>0.50900000000000001</v>
      </c>
      <c r="E7" s="16" t="s">
        <v>171</v>
      </c>
      <c r="F7" s="28">
        <v>5.4547205371428573</v>
      </c>
      <c r="G7" s="25">
        <v>0.34799999999999998</v>
      </c>
    </row>
    <row r="8" spans="2:7">
      <c r="B8" s="10" t="s">
        <v>55</v>
      </c>
      <c r="C8" s="20">
        <v>1.9955107866666666</v>
      </c>
      <c r="D8" s="22">
        <v>0.35599999999999998</v>
      </c>
      <c r="E8" s="14" t="s">
        <v>177</v>
      </c>
      <c r="F8" s="20">
        <v>5.7937598049999997</v>
      </c>
      <c r="G8" s="22">
        <v>1</v>
      </c>
    </row>
    <row r="9" spans="2:7" ht="24">
      <c r="B9" s="11" t="s">
        <v>271</v>
      </c>
      <c r="C9" s="20">
        <v>1.6469269714285715</v>
      </c>
      <c r="D9" s="22">
        <v>0.49399999999999999</v>
      </c>
      <c r="E9" s="18" t="s">
        <v>272</v>
      </c>
      <c r="F9" s="27">
        <v>6.0768667125000002</v>
      </c>
      <c r="G9" s="26">
        <v>0.54500000000000004</v>
      </c>
    </row>
    <row r="10" spans="2:7">
      <c r="B10" s="12" t="s">
        <v>72</v>
      </c>
      <c r="C10" s="27">
        <v>5.7337787155555553</v>
      </c>
      <c r="D10" s="23">
        <v>0.74299999999999999</v>
      </c>
      <c r="E10" s="14" t="s">
        <v>189</v>
      </c>
      <c r="F10" s="20">
        <v>0.89875565499999999</v>
      </c>
      <c r="G10" s="22">
        <v>0.435</v>
      </c>
    </row>
    <row r="11" spans="2:7" ht="24">
      <c r="B11" s="10" t="s">
        <v>79</v>
      </c>
      <c r="C11" s="20">
        <v>5.0731547800000003</v>
      </c>
      <c r="D11" s="22">
        <v>0.436</v>
      </c>
      <c r="E11" s="15" t="s">
        <v>273</v>
      </c>
      <c r="F11" s="20">
        <v>1.8814975599999999</v>
      </c>
      <c r="G11" s="22">
        <v>0</v>
      </c>
    </row>
    <row r="12" spans="2:7">
      <c r="B12" s="10" t="s">
        <v>86</v>
      </c>
      <c r="C12" s="20">
        <v>3.2973501066666668</v>
      </c>
      <c r="D12" s="22">
        <v>0.35599999999999998</v>
      </c>
      <c r="E12" s="14" t="s">
        <v>201</v>
      </c>
      <c r="F12" s="20">
        <v>1.0086587950000001</v>
      </c>
      <c r="G12" s="22">
        <v>0</v>
      </c>
    </row>
    <row r="13" spans="2:7" ht="24">
      <c r="B13" s="11" t="s">
        <v>274</v>
      </c>
      <c r="C13" s="20">
        <v>3.2023640529411765</v>
      </c>
      <c r="D13" s="22">
        <v>0.58399999999999996</v>
      </c>
      <c r="E13" s="17" t="s">
        <v>275</v>
      </c>
      <c r="F13" s="28">
        <v>8.6060329299999996</v>
      </c>
      <c r="G13" s="25">
        <v>0.34399999999999997</v>
      </c>
    </row>
    <row r="14" spans="2:7" ht="24">
      <c r="B14" s="10" t="s">
        <v>102</v>
      </c>
      <c r="C14" s="20">
        <v>3.5346023235294117</v>
      </c>
      <c r="D14" s="22">
        <v>0.219</v>
      </c>
      <c r="E14" s="15" t="s">
        <v>276</v>
      </c>
      <c r="F14" s="20">
        <v>3.7611249299999998</v>
      </c>
      <c r="G14" s="22">
        <v>0.311</v>
      </c>
    </row>
    <row r="15" spans="2:7" ht="24">
      <c r="B15" s="11" t="s">
        <v>277</v>
      </c>
      <c r="C15" s="20">
        <v>2.8227862438356164</v>
      </c>
      <c r="D15" s="22">
        <v>0.78800000000000003</v>
      </c>
      <c r="E15" s="14" t="s">
        <v>219</v>
      </c>
      <c r="F15" s="20">
        <v>2.0437123239999999</v>
      </c>
      <c r="G15" s="22">
        <v>0.432</v>
      </c>
    </row>
    <row r="16" spans="2:7">
      <c r="B16" s="12" t="s">
        <v>114</v>
      </c>
      <c r="C16" s="27">
        <v>2.9912188384615384</v>
      </c>
      <c r="D16" s="23">
        <v>0.249</v>
      </c>
      <c r="E16" s="14" t="s">
        <v>288</v>
      </c>
      <c r="F16" s="20">
        <v>2.4368353439999999</v>
      </c>
      <c r="G16" s="22">
        <v>0.16700000000000001</v>
      </c>
    </row>
    <row r="17" spans="2:11" ht="24">
      <c r="B17" s="11" t="s">
        <v>281</v>
      </c>
      <c r="C17" s="20">
        <v>3.6075983439999999</v>
      </c>
      <c r="D17" s="22">
        <v>0.75</v>
      </c>
      <c r="E17" s="15" t="s">
        <v>278</v>
      </c>
      <c r="F17" s="20">
        <v>0.90429272000000005</v>
      </c>
      <c r="G17" s="22">
        <v>0.249</v>
      </c>
      <c r="I17" s="10"/>
      <c r="J17" s="20"/>
      <c r="K17" s="22"/>
    </row>
    <row r="18" spans="2:11">
      <c r="B18" s="10" t="s">
        <v>127</v>
      </c>
      <c r="C18" s="20">
        <v>3.0990495393939392</v>
      </c>
      <c r="D18" s="22">
        <v>0.20100000000000001</v>
      </c>
      <c r="E18" s="14" t="s">
        <v>239</v>
      </c>
      <c r="F18" s="20">
        <v>2.1316880629629629</v>
      </c>
      <c r="G18" s="22">
        <v>0.219</v>
      </c>
      <c r="I18" s="11"/>
      <c r="J18" s="20"/>
      <c r="K18" s="22"/>
    </row>
    <row r="19" spans="2:11">
      <c r="B19" s="10" t="s">
        <v>134</v>
      </c>
      <c r="C19" s="20">
        <v>3.3454398150000002</v>
      </c>
      <c r="D19" s="22">
        <v>0.219</v>
      </c>
      <c r="E19" s="14" t="s">
        <v>229</v>
      </c>
      <c r="F19" s="20">
        <v>-0.26034722222222223</v>
      </c>
      <c r="G19" s="22">
        <v>0.38</v>
      </c>
    </row>
    <row r="20" spans="2:11" ht="24">
      <c r="B20" s="11" t="s">
        <v>279</v>
      </c>
      <c r="C20" s="20">
        <v>4.0220157085714288</v>
      </c>
      <c r="D20" s="22">
        <v>0.51400000000000001</v>
      </c>
      <c r="E20" s="16" t="s">
        <v>243</v>
      </c>
      <c r="F20" s="28">
        <v>5.6903567400000004</v>
      </c>
      <c r="G20" s="25">
        <v>0.186</v>
      </c>
    </row>
    <row r="21" spans="2:11" ht="24">
      <c r="B21" s="10" t="s">
        <v>146</v>
      </c>
      <c r="C21" s="20">
        <v>3.7249043222222222</v>
      </c>
      <c r="D21" s="22">
        <v>0.35599999999999998</v>
      </c>
      <c r="E21" s="15" t="s">
        <v>280</v>
      </c>
      <c r="F21" s="20">
        <v>1.2980001166666666</v>
      </c>
      <c r="G21" s="22">
        <v>0.313</v>
      </c>
    </row>
    <row r="22" spans="2:11" ht="18" thickBot="1">
      <c r="B22" s="40" t="s">
        <v>154</v>
      </c>
      <c r="C22" s="41">
        <v>5.6707854099999997</v>
      </c>
      <c r="D22" s="42">
        <v>0.221</v>
      </c>
      <c r="E22" s="19" t="s">
        <v>260</v>
      </c>
      <c r="F22" s="21">
        <v>1.0990110944444444</v>
      </c>
      <c r="G22" s="24">
        <v>0.34499999999999997</v>
      </c>
    </row>
    <row r="23" spans="2:11" ht="18" thickTop="1">
      <c r="B23" s="43"/>
      <c r="C23" s="43"/>
      <c r="D23" s="43"/>
      <c r="E23" s="43"/>
      <c r="F23" s="43"/>
      <c r="G23" s="43"/>
    </row>
  </sheetData>
  <mergeCells count="1">
    <mergeCell ref="B23:G23"/>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MCU_global</vt:lpstr>
      <vt:lpstr>eigenvector centrality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임경미</dc:creator>
  <cp:lastModifiedBy>배성은</cp:lastModifiedBy>
  <dcterms:created xsi:type="dcterms:W3CDTF">2025-06-14T13:15:23Z</dcterms:created>
  <dcterms:modified xsi:type="dcterms:W3CDTF">2026-01-12T02:11:46Z</dcterms:modified>
</cp:coreProperties>
</file>